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 Sprint" sheetId="1" state="visible" r:id="rId3"/>
    <sheet name="Equip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<sst xmlns="http://schemas.openxmlformats.org/spreadsheetml/2006/main" count="91" uniqueCount="45">
  <si>
    <t xml:space="preserve">OPERACIONES DEL MES</t>
  </si>
  <si>
    <t xml:space="preserve">#</t>
  </si>
  <si>
    <t xml:space="preserve">Producto</t>
  </si>
  <si>
    <t xml:space="preserve">Prima/año €</t>
  </si>
  <si>
    <t xml:space="preserve">Edad</t>
  </si>
  <si>
    <t xml:space="preserve">PVM</t>
  </si>
  <si>
    <t xml:space="preserve">Pago €</t>
  </si>
  <si>
    <t xml:space="preserve">Com.Básica €</t>
  </si>
  <si>
    <t xml:space="preserve">Riesgo</t>
  </si>
  <si>
    <t xml:space="preserve">Salud Completo</t>
  </si>
  <si>
    <t xml:space="preserve">Contigo Senior</t>
  </si>
  <si>
    <t xml:space="preserve">76-80 años</t>
  </si>
  <si>
    <t xml:space="preserve">Plan Creciente SIALP</t>
  </si>
  <si>
    <t xml:space="preserve">ESTADO MENSUAL</t>
  </si>
  <si>
    <t xml:space="preserve">Operaciones cerradas:</t>
  </si>
  <si>
    <t xml:space="preserve">PVM Acumulado:</t>
  </si>
  <si>
    <t xml:space="preserve">pts</t>
  </si>
  <si>
    <t xml:space="preserve">Objetivo mes:</t>
  </si>
  <si>
    <t xml:space="preserve">% Completado:</t>
  </si>
  <si>
    <t xml:space="preserve">Faltan:</t>
  </si>
  <si>
    <t xml:space="preserve">PVM Riesgo:</t>
  </si>
  <si>
    <t xml:space="preserve">Mínimo Riesgo (50%):</t>
  </si>
  <si>
    <t xml:space="preserve">PROYECCIÓN INGRESO MENSUAL</t>
  </si>
  <si>
    <t xml:space="preserve">Anticipo base:</t>
  </si>
  <si>
    <t xml:space="preserve">€</t>
  </si>
  <si>
    <t xml:space="preserve">Compensación PN:</t>
  </si>
  <si>
    <t xml:space="preserve">Complemento Riesgo:</t>
  </si>
  <si>
    <t xml:space="preserve">Comisión Tramos:</t>
  </si>
  <si>
    <t xml:space="preserve">Comisión Básica:</t>
  </si>
  <si>
    <t xml:space="preserve">BRUTO Total:</t>
  </si>
  <si>
    <t xml:space="preserve">- IRPF 15%:</t>
  </si>
  <si>
    <t xml:space="preserve">💰 NETO EN BANCO:</t>
  </si>
  <si>
    <t xml:space="preserve">ESTADO SEMANAL</t>
  </si>
  <si>
    <t xml:space="preserve">Semana actual:</t>
  </si>
  <si>
    <t xml:space="preserve">de 4</t>
  </si>
  <si>
    <t xml:space="preserve">PVM esta semana:</t>
  </si>
  <si>
    <t xml:space="preserve">(editar manual)</t>
  </si>
  <si>
    <t xml:space="preserve">Objetivo semanal:</t>
  </si>
  <si>
    <t xml:space="preserve">% Completado semana:</t>
  </si>
  <si>
    <t xml:space="preserve">Faltan esta semana:</t>
  </si>
  <si>
    <t xml:space="preserve">Ritmo proyectado cierre mes:</t>
  </si>
  <si>
    <t xml:space="preserve">Si continúas a este ritmo:</t>
  </si>
  <si>
    <t xml:space="preserve">Necesitas acelerar:</t>
  </si>
  <si>
    <t xml:space="preserve">pts/sem</t>
  </si>
  <si>
    <t xml:space="preserve">RESUMEN DEL MES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</si>
</sst>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General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62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u val="singl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00B050"/>
      <name val="Cambria"/>
      <family val="0"/>
      <charset val="1"/>
    </font>
    <font>
      <i val="true"/>
      <sz val="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6200"/>
        <bgColor rgb="FFFF99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2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4" min="3" style="1" width="15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10" min="10" style="1" width="30"/>
    <col collapsed="false" customWidth="true" hidden="false" outlineLevel="0" max="11" min="11" style="1" width="15"/>
    <col collapsed="false" customWidth="true" hidden="false" outlineLevel="0" max="13" min="12" style="1" width="1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15" hidden="false" customHeight="true" outlineLevel="0" collapsed="false">
      <c r="A3" s="4" t="n">
        <v>1</v>
      </c>
      <c r="B3" s="5" t="s">
        <v>9</v>
      </c>
      <c r="C3" s="6" t="n">
        <v>1180</v>
      </c>
      <c r="D3" s="7"/>
      <c r="E3" s="8" t="n">
        <f aca="false">IF(ISBLANK(B3),"",
IF(B3="Salud Completo",C3*1.5,
IF(B3="Salud Completo Copago",C3*2,
IF(B3="Salud Completo Copago Autónomo",C3*1.2,
IF(B3="Contigo Senior",C3*3,
IF(B3="Contigo Familia",C3*4,
IF(B3="Contigo Autónomo (ILT)",C3*2,
IF(B3="Plan Creciente SIALP",C3*1,
IF(B3="MiHogar Seguro",C3*1.5,
IF(B3="Líder Plus Accidentes",C3*4,
IF(B3="Seguro Comercio y Oficinas - CASER",C3*0.5,
IF(B3="Seguro Responsabilidad Civil - CASER",C3*0.4,0))))))))))))</f>
        <v>1770</v>
      </c>
      <c r="F3" s="9" t="n">
        <f aca="false">IF(ISBLANK(B3),"",
IF(B3="Salud Completo",C3*0.16,
IF(B3="Salud Completo Copago",C3*0.16,
IF(B3="Salud Completo Copago Autónomo",C3*0.16,
IF(B3="Contigo Senior",
    IF(D3="55-70 años",C3*1,
    IF(D3="71-75 años",C3*0.82,
    IF(D3="76-80 años",C3*0.7,0))),
IF(B3="Contigo Familia",C3*1.5,
IF(B3="Contigo Autónomo (ILT)",C3*0.75,
IF(B3="Plan Creciente SIALP",C3*0.27,
IF(B3="MiHogar Seguro",C3*1,
IF(B3="Líder Plus Accidentes",C3*1.8,
IF(B3="Seguro Comercio y Oficinas - CASER",C3*0.21,
IF(B3="Seguro Responsabilidad Civil - CASER",C3*0.18,0))))))))))))</f>
        <v>188.8</v>
      </c>
      <c r="G3" s="9" t="n">
        <f aca="false">IF(ISBLANK(B3),"",
IF(B3="Salud Completo",F3*0.0112/12,
IF(B3="Salud Completo Copago",F3*0.0112/12,
IF(B3="Salud Completo Copago Autónomo",F3*0.0112/12,
IF(B3="Contigo Senior",
    IF(D3="55-70 años",F3*0.07/12,
    IF(D3="71-75 años",F3*0.0574/12,
    IF(D3="76-80 años",F3*0.049/12,0))),
IF(B3="Contigo Familia",F3*0.105/12,
IF(B3="Contigo Autónomo (ILT)",F3*0.105/12,
IF(B3="Plan Creciente SIALP",F3*0.0189,
IF(B3="MiHogar Seguro",F3*0.042/12,
IF(B3="Líder Plus Accidentes",F3*0.25/12,
IF(B3="Seguro Comercio y Oficinas - CASER",F3*0.21/12,
IF(B3="Seguro Responsabilidad Civil - CASER",F3*0.18/12,0))))))))))))</f>
        <v>0.176213333333333</v>
      </c>
      <c r="H3" s="10" t="str">
        <f aca="false">IF(ISBLANK(B3),"",
IF(OR(B3="Salud Completo",B3="Salud Completo Copago",B3="Salud Completo Copago Autónomo",
B3="Contigo Senior",B3="Contigo Familia",B3="Contigo Autónomo (ILT)",
B3="MiHogar Seguro",B3="Líder Plus Accidentes"),"✅","❌"))</f>
        <v>✅</v>
      </c>
    </row>
    <row r="4" customFormat="false" ht="15" hidden="false" customHeight="true" outlineLevel="0" collapsed="false">
      <c r="A4" s="4" t="n">
        <v>2</v>
      </c>
      <c r="B4" s="5" t="s">
        <v>10</v>
      </c>
      <c r="C4" s="6" t="n">
        <v>720</v>
      </c>
      <c r="D4" s="7" t="s">
        <v>11</v>
      </c>
      <c r="E4" s="8" t="n">
        <f aca="false">IF(ISBLANK(B4),"",
IF(B4="Salud Completo",C4*1.5,
IF(B4="Salud Completo Copago",C4*2,
IF(B4="Salud Completo Copago Autónomo",C4*1.2,
IF(B4="Contigo Senior",C4*3,
IF(B4="Contigo Familia",C4*4,
IF(B4="Contigo Autónomo (ILT)",C4*2,
IF(B4="Plan Creciente SIALP",C4*1,
IF(B4="MiHogar Seguro",C4*1.5,
IF(B4="Líder Plus Accidentes",C4*4,
IF(B4="Seguro Comercio y Oficinas - CASER",C4*0.5,
IF(B4="Seguro Responsabilidad Civil - CASER",C4*0.4,0))))))))))))</f>
        <v>2160</v>
      </c>
      <c r="F4" s="9" t="n">
        <f aca="false">IF(ISBLANK(B4),"",
IF(B4="Salud Completo",C4*0.16,
IF(B4="Salud Completo Copago",C4*0.16,
IF(B4="Salud Completo Copago Autónomo",C4*0.16,
IF(B4="Contigo Senior",
    IF(D4="55-70 años",C4*1,
    IF(D4="71-75 años",C4*0.82,
    IF(D4="76-80 años",C4*0.7,0))),
IF(B4="Contigo Familia",C4*1.5,
IF(B4="Contigo Autónomo (ILT)",C4*0.75,
IF(B4="Plan Creciente SIALP",C4*0.27,
IF(B4="MiHogar Seguro",C4*1,
IF(B4="Líder Plus Accidentes",C4*1.8,
IF(B4="Seguro Comercio y Oficinas - CASER",C4*0.21,
IF(B4="Seguro Responsabilidad Civil - CASER",C4*0.18,0))))))))))))</f>
        <v>504</v>
      </c>
      <c r="G4" s="9" t="n">
        <f aca="false">IF(ISBLANK(B4),"",
IF(B4="Salud Completo",F4*0.0112/12,
IF(B4="Salud Completo Copago",F4*0.0112/12,
IF(B4="Salud Completo Copago Autónomo",F4*0.0112/12,
IF(B4="Contigo Senior",
    IF(D4="55-70 años",F4*0.07/12,
    IF(D4="71-75 años",F4*0.0574/12,
    IF(D4="76-80 años",F4*0.049/12,0))),
IF(B4="Contigo Familia",F4*0.105/12,
IF(B4="Contigo Autónomo (ILT)",F4*0.105/12,
IF(B4="Plan Creciente SIALP",F4*0.0189,
IF(B4="MiHogar Seguro",F4*0.042/12,
IF(B4="Líder Plus Accidentes",F4*0.25/12,
IF(B4="Seguro Comercio y Oficinas - CASER",F4*0.21/12,
IF(B4="Seguro Responsabilidad Civil - CASER",F4*0.18/12,0))))))))))))</f>
        <v>2.058</v>
      </c>
      <c r="H4" s="10" t="str">
        <f aca="false">IF(ISBLANK(B4),"",
IF(OR(B4="Salud Completo",B4="Salud Completo Copago",B4="Salud Completo Copago Autónomo",
B4="Contigo Senior",B4="Contigo Familia",B4="Contigo Autónomo (ILT)",
B4="MiHogar Seguro",B4="Líder Plus Accidentes"),"✅","❌"))</f>
        <v>✅</v>
      </c>
    </row>
    <row r="5" customFormat="false" ht="15" hidden="false" customHeight="true" outlineLevel="0" collapsed="false">
      <c r="A5" s="4" t="n">
        <v>3</v>
      </c>
      <c r="B5" s="5" t="s">
        <v>12</v>
      </c>
      <c r="C5" s="6" t="n">
        <v>2000</v>
      </c>
      <c r="D5" s="7"/>
      <c r="E5" s="8" t="n">
        <f aca="false">IF(ISBLANK(B5),"",
IF(B5="Salud Completo",C5*1.5,
IF(B5="Salud Completo Copago",C5*2,
IF(B5="Salud Completo Copago Autónomo",C5*1.2,
IF(B5="Contigo Senior",C5*3,
IF(B5="Contigo Familia",C5*4,
IF(B5="Contigo Autónomo (ILT)",C5*2,
IF(B5="Plan Creciente SIALP",C5*1,
IF(B5="MiHogar Seguro",C5*1.5,
IF(B5="Líder Plus Accidentes",C5*4,
IF(B5="Seguro Comercio y Oficinas - CASER",C5*0.5,
IF(B5="Seguro Responsabilidad Civil - CASER",C5*0.4,0))))))))))))</f>
        <v>2000</v>
      </c>
      <c r="F5" s="9" t="n">
        <f aca="false">IF(ISBLANK(B5),"",
IF(B5="Salud Completo",C5*0.16,
IF(B5="Salud Completo Copago",C5*0.16,
IF(B5="Salud Completo Copago Autónomo",C5*0.16,
IF(B5="Contigo Senior",
    IF(D5="55-70 años",C5*1,
    IF(D5="71-75 años",C5*0.82,
    IF(D5="76-80 años",C5*0.7,0))),
IF(B5="Contigo Familia",C5*1.5,
IF(B5="Contigo Autónomo (ILT)",C5*0.75,
IF(B5="Plan Creciente SIALP",C5*0.27,
IF(B5="MiHogar Seguro",C5*1,
IF(B5="Líder Plus Accidentes",C5*1.8,
IF(B5="Seguro Comercio y Oficinas - CASER",C5*0.21,
IF(B5="Seguro Responsabilidad Civil - CASER",C5*0.18,0))))))))))))</f>
        <v>540</v>
      </c>
      <c r="G5" s="9" t="n">
        <f aca="false">IF(ISBLANK(B5),"",
IF(B5="Salud Completo",F5*0.0112/12,
IF(B5="Salud Completo Copago",F5*0.0112/12,
IF(B5="Salud Completo Copago Autónomo",F5*0.0112/12,
IF(B5="Contigo Senior",
    IF(D5="55-70 años",F5*0.07/12,
    IF(D5="71-75 años",F5*0.0574/12,
    IF(D5="76-80 años",F5*0.049/12,0))),
IF(B5="Contigo Familia",F5*0.105/12,
IF(B5="Contigo Autónomo (ILT)",F5*0.105/12,
IF(B5="Plan Creciente SIALP",F5*0.0189,
IF(B5="MiHogar Seguro",F5*0.042/12,
IF(B5="Líder Plus Accidentes",F5*0.25/12,
IF(B5="Seguro Comercio y Oficinas - CASER",F5*0.21/12,
IF(B5="Seguro Responsabilidad Civil - CASER",F5*0.18/12,0))))))))))))</f>
        <v>10.206</v>
      </c>
      <c r="H5" s="10" t="str">
        <f aca="false">IF(ISBLANK(B5),"",
IF(OR(B5="Salud Completo",B5="Salud Completo Copago",B5="Salud Completo Copago Autónomo",
B5="Contigo Senior",B5="Contigo Familia",B5="Contigo Autónomo (ILT)",
B5="MiHogar Seguro",B5="Líder Plus Accidentes"),"✅","❌"))</f>
        <v>❌</v>
      </c>
    </row>
    <row r="6" customFormat="false" ht="15" hidden="false" customHeight="true" outlineLevel="0" collapsed="false">
      <c r="A6" s="4" t="n">
        <v>4</v>
      </c>
      <c r="B6" s="5"/>
      <c r="C6" s="6"/>
      <c r="D6" s="7"/>
      <c r="E6" s="8" t="str">
        <f aca="false">IF(ISBLANK(B6),"",
IF(B6="Salud Completo",C6*1.5,
IF(B6="Salud Completo Copago",C6*2,
IF(B6="Salud Completo Copago Autónomo",C6*1.2,
IF(B6="Contigo Senior",C6*3,
IF(B6="Contigo Familia",C6*4,
IF(B6="Contigo Autónomo (ILT)",C6*2,
IF(B6="Plan Creciente SIALP",C6*1,
IF(B6="MiHogar Seguro",C6*1.5,
IF(B6="Líder Plus Accidentes",C6*4,
IF(B6="Seguro Comercio y Oficinas - CASER",C6*0.5,
IF(B6="Seguro Responsabilidad Civil - CASER",C6*0.4,0))))))))))))</f>
        <v/>
      </c>
      <c r="F6" s="9" t="str">
        <f aca="false">IF(ISBLANK(B6),"",
IF(B6="Salud Completo",C6*0.16,
IF(B6="Salud Completo Copago",C6*0.16,
IF(B6="Salud Completo Copago Autónomo",C6*0.16,
IF(B6="Contigo Senior",
    IF(D6="55-70 años",C6*1,
    IF(D6="71-75 años",C6*0.82,
    IF(D6="76-80 años",C6*0.7,0))),
IF(B6="Contigo Familia",C6*1.5,
IF(B6="Contigo Autónomo (ILT)",C6*0.75,
IF(B6="Plan Creciente SIALP",C6*0.27,
IF(B6="MiHogar Seguro",C6*1,
IF(B6="Líder Plus Accidentes",C6*1.8,
IF(B6="Seguro Comercio y Oficinas - CASER",C6*0.21,
IF(B6="Seguro Responsabilidad Civil - CASER",C6*0.18,0))))))))))))</f>
        <v/>
      </c>
      <c r="G6" s="9" t="str">
        <f aca="false">IF(ISBLANK(B6),"",
IF(B6="Salud Completo",F6*0.0112/12,
IF(B6="Salud Completo Copago",F6*0.0112/12,
IF(B6="Salud Completo Copago Autónomo",F6*0.0112/12,
IF(B6="Contigo Senior",
    IF(D6="55-70 años",F6*0.07/12,
    IF(D6="71-75 años",F6*0.0574/12,
    IF(D6="76-80 años",F6*0.049/12,0))),
IF(B6="Contigo Familia",F6*0.105/12,
IF(B6="Contigo Autónomo (ILT)",F6*0.105/12,
IF(B6="Plan Creciente SIALP",F6*0.0189,
IF(B6="MiHogar Seguro",F6*0.042/12,
IF(B6="Líder Plus Accidentes",F6*0.25/12,
IF(B6="Seguro Comercio y Oficinas - CASER",F6*0.21/12,
IF(B6="Seguro Responsabilidad Civil - CASER",F6*0.18/12,0))))))))))))</f>
        <v/>
      </c>
      <c r="H6" s="10" t="str">
        <f aca="false">IF(ISBLANK(B6),"",
IF(OR(B6="Salud Completo",B6="Salud Completo Copago",B6="Salud Completo Copago Autónomo",
B6="Contigo Senior",B6="Contigo Familia",B6="Contigo Autónomo (ILT)",
B6="MiHogar Seguro",B6="Líder Plus Accidentes"),"✅","❌"))</f>
        <v/>
      </c>
    </row>
    <row r="7" customFormat="false" ht="15" hidden="false" customHeight="true" outlineLevel="0" collapsed="false">
      <c r="A7" s="4" t="n">
        <v>5</v>
      </c>
      <c r="B7" s="5"/>
      <c r="C7" s="6"/>
      <c r="D7" s="7"/>
      <c r="E7" s="8" t="str">
        <f aca="false">IF(ISBLANK(B7),"",
IF(B7="Salud Completo",C7*1.5,
IF(B7="Salud Completo Copago",C7*2,
IF(B7="Salud Completo Copago Autónomo",C7*1.2,
IF(B7="Contigo Senior",C7*3,
IF(B7="Contigo Familia",C7*4,
IF(B7="Contigo Autónomo (ILT)",C7*2,
IF(B7="Plan Creciente SIALP",C7*1,
IF(B7="MiHogar Seguro",C7*1.5,
IF(B7="Líder Plus Accidentes",C7*4,
IF(B7="Seguro Comercio y Oficinas - CASER",C7*0.5,
IF(B7="Seguro Responsabilidad Civil - CASER",C7*0.4,0))))))))))))</f>
        <v/>
      </c>
      <c r="F7" s="9" t="str">
        <f aca="false">IF(ISBLANK(B7),"",
IF(B7="Salud Completo",C7*0.16,
IF(B7="Salud Completo Copago",C7*0.16,
IF(B7="Salud Completo Copago Autónomo",C7*0.16,
IF(B7="Contigo Senior",
    IF(D7="55-70 años",C7*1,
    IF(D7="71-75 años",C7*0.82,
    IF(D7="76-80 años",C7*0.7,0))),
IF(B7="Contigo Familia",C7*1.5,
IF(B7="Contigo Autónomo (ILT)",C7*0.75,
IF(B7="Plan Creciente SIALP",C7*0.27,
IF(B7="MiHogar Seguro",C7*1,
IF(B7="Líder Plus Accidentes",C7*1.8,
IF(B7="Seguro Comercio y Oficinas - CASER",C7*0.21,
IF(B7="Seguro Responsabilidad Civil - CASER",C7*0.18,0))))))))))))</f>
        <v/>
      </c>
      <c r="G7" s="9" t="str">
        <f aca="false">IF(ISBLANK(B7),"",
IF(B7="Salud Completo",F7*0.0112/12,
IF(B7="Salud Completo Copago",F7*0.0112/12,
IF(B7="Salud Completo Copago Autónomo",F7*0.0112/12,
IF(B7="Contigo Senior",
    IF(D7="55-70 años",F7*0.07/12,
    IF(D7="71-75 años",F7*0.0574/12,
    IF(D7="76-80 años",F7*0.049/12,0))),
IF(B7="Contigo Familia",F7*0.105/12,
IF(B7="Contigo Autónomo (ILT)",F7*0.105/12,
IF(B7="Plan Creciente SIALP",F7*0.0189,
IF(B7="MiHogar Seguro",F7*0.042/12,
IF(B7="Líder Plus Accidentes",F7*0.25/12,
IF(B7="Seguro Comercio y Oficinas - CASER",F7*0.21/12,
IF(B7="Seguro Responsabilidad Civil - CASER",F7*0.18/12,0))))))))))))</f>
        <v/>
      </c>
      <c r="H7" s="10" t="str">
        <f aca="false">IF(ISBLANK(B7),"",
IF(OR(B7="Salud Completo",B7="Salud Completo Copago",B7="Salud Completo Copago Autónomo",
B7="Contigo Senior",B7="Contigo Familia",B7="Contigo Autónomo (ILT)",
B7="MiHogar Seguro",B7="Líder Plus Accidentes"),"✅","❌"))</f>
        <v/>
      </c>
    </row>
    <row r="8" customFormat="false" ht="15" hidden="false" customHeight="true" outlineLevel="0" collapsed="false">
      <c r="A8" s="4" t="n">
        <v>6</v>
      </c>
      <c r="B8" s="5"/>
      <c r="C8" s="6"/>
      <c r="D8" s="7"/>
      <c r="E8" s="8" t="str">
        <f aca="false">IF(ISBLANK(B8),"",
IF(B8="Salud Completo",C8*1.5,
IF(B8="Salud Completo Copago",C8*2,
IF(B8="Salud Completo Copago Autónomo",C8*1.2,
IF(B8="Contigo Senior",C8*3,
IF(B8="Contigo Familia",C8*4,
IF(B8="Contigo Autónomo (ILT)",C8*2,
IF(B8="Plan Creciente SIALP",C8*1,
IF(B8="MiHogar Seguro",C8*1.5,
IF(B8="Líder Plus Accidentes",C8*4,
IF(B8="Seguro Comercio y Oficinas - CASER",C8*0.5,
IF(B8="Seguro Responsabilidad Civil - CASER",C8*0.4,0))))))))))))</f>
        <v/>
      </c>
      <c r="F8" s="9" t="str">
        <f aca="false">IF(ISBLANK(B8),"",
IF(B8="Salud Completo",C8*0.16,
IF(B8="Salud Completo Copago",C8*0.16,
IF(B8="Salud Completo Copago Autónomo",C8*0.16,
IF(B8="Contigo Senior",
    IF(D8="55-70 años",C8*1,
    IF(D8="71-75 años",C8*0.82,
    IF(D8="76-80 años",C8*0.7,0))),
IF(B8="Contigo Familia",C8*1.5,
IF(B8="Contigo Autónomo (ILT)",C8*0.75,
IF(B8="Plan Creciente SIALP",C8*0.27,
IF(B8="MiHogar Seguro",C8*1,
IF(B8="Líder Plus Accidentes",C8*1.8,
IF(B8="Seguro Comercio y Oficinas - CASER",C8*0.21,
IF(B8="Seguro Responsabilidad Civil - CASER",C8*0.18,0))))))))))))</f>
        <v/>
      </c>
      <c r="G8" s="9" t="str">
        <f aca="false">IF(ISBLANK(B8),"",
IF(B8="Salud Completo",F8*0.0112/12,
IF(B8="Salud Completo Copago",F8*0.0112/12,
IF(B8="Salud Completo Copago Autónomo",F8*0.0112/12,
IF(B8="Contigo Senior",
    IF(D8="55-70 años",F8*0.07/12,
    IF(D8="71-75 años",F8*0.0574/12,
    IF(D8="76-80 años",F8*0.049/12,0))),
IF(B8="Contigo Familia",F8*0.105/12,
IF(B8="Contigo Autónomo (ILT)",F8*0.105/12,
IF(B8="Plan Creciente SIALP",F8*0.0189,
IF(B8="MiHogar Seguro",F8*0.042/12,
IF(B8="Líder Plus Accidentes",F8*0.25/12,
IF(B8="Seguro Comercio y Oficinas - CASER",F8*0.21/12,
IF(B8="Seguro Responsabilidad Civil - CASER",F8*0.18/12,0))))))))))))</f>
        <v/>
      </c>
      <c r="H8" s="10" t="str">
        <f aca="false">IF(ISBLANK(B8),"",
IF(OR(B8="Salud Completo",B8="Salud Completo Copago",B8="Salud Completo Copago Autónomo",
B8="Contigo Senior",B8="Contigo Familia",B8="Contigo Autónomo (ILT)",
B8="MiHogar Seguro",B8="Líder Plus Accidentes"),"✅","❌"))</f>
        <v/>
      </c>
    </row>
    <row r="9" customFormat="false" ht="15" hidden="false" customHeight="true" outlineLevel="0" collapsed="false">
      <c r="A9" s="4" t="n">
        <v>7</v>
      </c>
      <c r="B9" s="5"/>
      <c r="C9" s="6"/>
      <c r="D9" s="7"/>
      <c r="E9" s="8" t="str">
        <f aca="false">IF(ISBLANK(B9),"",
IF(B9="Salud Completo",C9*1.5,
IF(B9="Salud Completo Copago",C9*2,
IF(B9="Salud Completo Copago Autónomo",C9*1.2,
IF(B9="Contigo Senior",C9*3,
IF(B9="Contigo Familia",C9*4,
IF(B9="Contigo Autónomo (ILT)",C9*2,
IF(B9="Plan Creciente SIALP",C9*1,
IF(B9="MiHogar Seguro",C9*1.5,
IF(B9="Líder Plus Accidentes",C9*4,
IF(B9="Seguro Comercio y Oficinas - CASER",C9*0.5,
IF(B9="Seguro Responsabilidad Civil - CASER",C9*0.4,0))))))))))))</f>
        <v/>
      </c>
      <c r="F9" s="9" t="str">
        <f aca="false">IF(ISBLANK(B9),"",
IF(B9="Salud Completo",C9*0.16,
IF(B9="Salud Completo Copago",C9*0.16,
IF(B9="Salud Completo Copago Autónomo",C9*0.16,
IF(B9="Contigo Senior",
    IF(D9="55-70 años",C9*1,
    IF(D9="71-75 años",C9*0.82,
    IF(D9="76-80 años",C9*0.7,0))),
IF(B9="Contigo Familia",C9*1.5,
IF(B9="Contigo Autónomo (ILT)",C9*0.75,
IF(B9="Plan Creciente SIALP",C9*0.27,
IF(B9="MiHogar Seguro",C9*1,
IF(B9="Líder Plus Accidentes",C9*1.8,
IF(B9="Seguro Comercio y Oficinas - CASER",C9*0.21,
IF(B9="Seguro Responsabilidad Civil - CASER",C9*0.18,0))))))))))))</f>
        <v/>
      </c>
      <c r="G9" s="9" t="str">
        <f aca="false">IF(ISBLANK(B9),"",
IF(B9="Salud Completo",F9*0.0112/12,
IF(B9="Salud Completo Copago",F9*0.0112/12,
IF(B9="Salud Completo Copago Autónomo",F9*0.0112/12,
IF(B9="Contigo Senior",
    IF(D9="55-70 años",F9*0.07/12,
    IF(D9="71-75 años",F9*0.0574/12,
    IF(D9="76-80 años",F9*0.049/12,0))),
IF(B9="Contigo Familia",F9*0.105/12,
IF(B9="Contigo Autónomo (ILT)",F9*0.105/12,
IF(B9="Plan Creciente SIALP",F9*0.0189,
IF(B9="MiHogar Seguro",F9*0.042/12,
IF(B9="Líder Plus Accidentes",F9*0.25/12,
IF(B9="Seguro Comercio y Oficinas - CASER",F9*0.21/12,
IF(B9="Seguro Responsabilidad Civil - CASER",F9*0.18/12,0))))))))))))</f>
        <v/>
      </c>
      <c r="H9" s="10" t="str">
        <f aca="false">IF(ISBLANK(B9),"",
IF(OR(B9="Salud Completo",B9="Salud Completo Copago",B9="Salud Completo Copago Autónomo",
B9="Contigo Senior",B9="Contigo Familia",B9="Contigo Autónomo (ILT)",
B9="MiHogar Seguro",B9="Líder Plus Accidentes"),"✅","❌"))</f>
        <v/>
      </c>
    </row>
    <row r="10" customFormat="false" ht="15" hidden="false" customHeight="true" outlineLevel="0" collapsed="false">
      <c r="A10" s="4" t="n">
        <v>8</v>
      </c>
      <c r="B10" s="5"/>
      <c r="C10" s="6"/>
      <c r="D10" s="7"/>
      <c r="E10" s="8" t="str">
        <f aca="false">IF(ISBLANK(B10),"",
IF(B10="Salud Completo",C10*1.5,
IF(B10="Salud Completo Copago",C10*2,
IF(B10="Salud Completo Copago Autónomo",C10*1.2,
IF(B10="Contigo Senior",C10*3,
IF(B10="Contigo Familia",C10*4,
IF(B10="Contigo Autónomo (ILT)",C10*2,
IF(B10="Plan Creciente SIALP",C10*1,
IF(B10="MiHogar Seguro",C10*1.5,
IF(B10="Líder Plus Accidentes",C10*4,
IF(B10="Seguro Comercio y Oficinas - CASER",C10*0.5,
IF(B10="Seguro Responsabilidad Civil - CASER",C10*0.4,0))))))))))))</f>
        <v/>
      </c>
      <c r="F10" s="9" t="str">
        <f aca="false">IF(ISBLANK(B10),"",
IF(B10="Salud Completo",C10*0.16,
IF(B10="Salud Completo Copago",C10*0.16,
IF(B10="Salud Completo Copago Autónomo",C10*0.16,
IF(B10="Contigo Senior",
    IF(D10="55-70 años",C10*1,
    IF(D10="71-75 años",C10*0.82,
    IF(D10="76-80 años",C10*0.7,0))),
IF(B10="Contigo Familia",C10*1.5,
IF(B10="Contigo Autónomo (ILT)",C10*0.75,
IF(B10="Plan Creciente SIALP",C10*0.27,
IF(B10="MiHogar Seguro",C10*1,
IF(B10="Líder Plus Accidentes",C10*1.8,
IF(B10="Seguro Comercio y Oficinas - CASER",C10*0.21,
IF(B10="Seguro Responsabilidad Civil - CASER",C10*0.18,0))))))))))))</f>
        <v/>
      </c>
      <c r="G10" s="9" t="str">
        <f aca="false">IF(ISBLANK(B10),"",
IF(B10="Salud Completo",F10*0.0112/12,
IF(B10="Salud Completo Copago",F10*0.0112/12,
IF(B10="Salud Completo Copago Autónomo",F10*0.0112/12,
IF(B10="Contigo Senior",
    IF(D10="55-70 años",F10*0.07/12,
    IF(D10="71-75 años",F10*0.0574/12,
    IF(D10="76-80 años",F10*0.049/12,0))),
IF(B10="Contigo Familia",F10*0.105/12,
IF(B10="Contigo Autónomo (ILT)",F10*0.105/12,
IF(B10="Plan Creciente SIALP",F10*0.0189,
IF(B10="MiHogar Seguro",F10*0.042/12,
IF(B10="Líder Plus Accidentes",F10*0.25/12,
IF(B10="Seguro Comercio y Oficinas - CASER",F10*0.21/12,
IF(B10="Seguro Responsabilidad Civil - CASER",F10*0.18/12,0))))))))))))</f>
        <v/>
      </c>
      <c r="H10" s="10" t="str">
        <f aca="false">IF(ISBLANK(B10),"",
IF(OR(B10="Salud Completo",B10="Salud Completo Copago",B10="Salud Completo Copago Autónomo",
B10="Contigo Senior",B10="Contigo Familia",B10="Contigo Autónomo (ILT)",
B10="MiHogar Seguro",B10="Líder Plus Accidentes"),"✅","❌"))</f>
        <v/>
      </c>
    </row>
    <row r="11" customFormat="false" ht="15" hidden="false" customHeight="true" outlineLevel="0" collapsed="false">
      <c r="A11" s="4" t="n">
        <v>9</v>
      </c>
      <c r="B11" s="5"/>
      <c r="C11" s="6"/>
      <c r="D11" s="7"/>
      <c r="E11" s="8" t="str">
        <f aca="false">IF(ISBLANK(B11),"",
IF(B11="Salud Completo",C11*1.5,
IF(B11="Salud Completo Copago",C11*2,
IF(B11="Salud Completo Copago Autónomo",C11*1.2,
IF(B11="Contigo Senior",C11*3,
IF(B11="Contigo Familia",C11*4,
IF(B11="Contigo Autónomo (ILT)",C11*2,
IF(B11="Plan Creciente SIALP",C11*1,
IF(B11="MiHogar Seguro",C11*1.5,
IF(B11="Líder Plus Accidentes",C11*4,
IF(B11="Seguro Comercio y Oficinas - CASER",C11*0.5,
IF(B11="Seguro Responsabilidad Civil - CASER",C11*0.4,0))))))))))))</f>
        <v/>
      </c>
      <c r="F11" s="9" t="str">
        <f aca="false">IF(ISBLANK(B11),"",
IF(B11="Salud Completo",C11*0.16,
IF(B11="Salud Completo Copago",C11*0.16,
IF(B11="Salud Completo Copago Autónomo",C11*0.16,
IF(B11="Contigo Senior",
    IF(D11="55-70 años",C11*1,
    IF(D11="71-75 años",C11*0.82,
    IF(D11="76-80 años",C11*0.7,0))),
IF(B11="Contigo Familia",C11*1.5,
IF(B11="Contigo Autónomo (ILT)",C11*0.75,
IF(B11="Plan Creciente SIALP",C11*0.27,
IF(B11="MiHogar Seguro",C11*1,
IF(B11="Líder Plus Accidentes",C11*1.8,
IF(B11="Seguro Comercio y Oficinas - CASER",C11*0.21,
IF(B11="Seguro Responsabilidad Civil - CASER",C11*0.18,0))))))))))))</f>
        <v/>
      </c>
      <c r="G11" s="9" t="str">
        <f aca="false">IF(ISBLANK(B11),"",
IF(B11="Salud Completo",F11*0.0112/12,
IF(B11="Salud Completo Copago",F11*0.0112/12,
IF(B11="Salud Completo Copago Autónomo",F11*0.0112/12,
IF(B11="Contigo Senior",
    IF(D11="55-70 años",F11*0.07/12,
    IF(D11="71-75 años",F11*0.0574/12,
    IF(D11="76-80 años",F11*0.049/12,0))),
IF(B11="Contigo Familia",F11*0.105/12,
IF(B11="Contigo Autónomo (ILT)",F11*0.105/12,
IF(B11="Plan Creciente SIALP",F11*0.0189,
IF(B11="MiHogar Seguro",F11*0.042/12,
IF(B11="Líder Plus Accidentes",F11*0.25/12,
IF(B11="Seguro Comercio y Oficinas - CASER",F11*0.21/12,
IF(B11="Seguro Responsabilidad Civil - CASER",F11*0.18/12,0))))))))))))</f>
        <v/>
      </c>
      <c r="H11" s="10" t="str">
        <f aca="false">IF(ISBLANK(B11),"",
IF(OR(B11="Salud Completo",B11="Salud Completo Copago",B11="Salud Completo Copago Autónomo",
B11="Contigo Senior",B11="Contigo Familia",B11="Contigo Autónomo (ILT)",
B11="MiHogar Seguro",B11="Líder Plus Accidentes"),"✅","❌"))</f>
        <v/>
      </c>
    </row>
    <row r="12" customFormat="false" ht="15" hidden="false" customHeight="true" outlineLevel="0" collapsed="false">
      <c r="A12" s="4" t="n">
        <v>10</v>
      </c>
      <c r="B12" s="5"/>
      <c r="C12" s="6"/>
      <c r="D12" s="7"/>
      <c r="E12" s="8" t="str">
        <f aca="false">IF(ISBLANK(B12),"",
IF(B12="Salud Completo",C12*1.5,
IF(B12="Salud Completo Copago",C12*2,
IF(B12="Salud Completo Copago Autónomo",C12*1.2,
IF(B12="Contigo Senior",C12*3,
IF(B12="Contigo Familia",C12*4,
IF(B12="Contigo Autónomo (ILT)",C12*2,
IF(B12="Plan Creciente SIALP",C12*1,
IF(B12="MiHogar Seguro",C12*1.5,
IF(B12="Líder Plus Accidentes",C12*4,
IF(B12="Seguro Comercio y Oficinas - CASER",C12*0.5,
IF(B12="Seguro Responsabilidad Civil - CASER",C12*0.4,0))))))))))))</f>
        <v/>
      </c>
      <c r="F12" s="9" t="str">
        <f aca="false">IF(ISBLANK(B12),"",
IF(B12="Salud Completo",C12*0.16,
IF(B12="Salud Completo Copago",C12*0.16,
IF(B12="Salud Completo Copago Autónomo",C12*0.16,
IF(B12="Contigo Senior",
    IF(D12="55-70 años",C12*1,
    IF(D12="71-75 años",C12*0.82,
    IF(D12="76-80 años",C12*0.7,0))),
IF(B12="Contigo Familia",C12*1.5,
IF(B12="Contigo Autónomo (ILT)",C12*0.75,
IF(B12="Plan Creciente SIALP",C12*0.27,
IF(B12="MiHogar Seguro",C12*1,
IF(B12="Líder Plus Accidentes",C12*1.8,
IF(B12="Seguro Comercio y Oficinas - CASER",C12*0.21,
IF(B12="Seguro Responsabilidad Civil - CASER",C12*0.18,0))))))))))))</f>
        <v/>
      </c>
      <c r="G12" s="9" t="str">
        <f aca="false">IF(ISBLANK(B12),"",
IF(B12="Salud Completo",F12*0.0112/12,
IF(B12="Salud Completo Copago",F12*0.0112/12,
IF(B12="Salud Completo Copago Autónomo",F12*0.0112/12,
IF(B12="Contigo Senior",
    IF(D12="55-70 años",F12*0.07/12,
    IF(D12="71-75 años",F12*0.0574/12,
    IF(D12="76-80 años",F12*0.049/12,0))),
IF(B12="Contigo Familia",F12*0.105/12,
IF(B12="Contigo Autónomo (ILT)",F12*0.105/12,
IF(B12="Plan Creciente SIALP",F12*0.0189,
IF(B12="MiHogar Seguro",F12*0.042/12,
IF(B12="Líder Plus Accidentes",F12*0.25/12,
IF(B12="Seguro Comercio y Oficinas - CASER",F12*0.21/12,
IF(B12="Seguro Responsabilidad Civil - CASER",F12*0.18/12,0))))))))))))</f>
        <v/>
      </c>
      <c r="H12" s="10" t="str">
        <f aca="false">IF(ISBLANK(B12),"",
IF(OR(B12="Salud Completo",B12="Salud Completo Copago",B12="Salud Completo Copago Autónomo",
B12="Contigo Senior",B12="Contigo Familia",B12="Contigo Autónomo (ILT)",
B12="MiHogar Seguro",B12="Líder Plus Accidentes"),"✅","❌"))</f>
        <v/>
      </c>
    </row>
    <row r="13" customFormat="false" ht="15" hidden="false" customHeight="true" outlineLevel="0" collapsed="false">
      <c r="A13" s="4" t="n">
        <v>11</v>
      </c>
      <c r="B13" s="5"/>
      <c r="C13" s="6"/>
      <c r="D13" s="7"/>
      <c r="E13" s="8" t="str">
        <f aca="false">IF(ISBLANK(B13),"",
IF(B13="Salud Completo",C13*1.5,
IF(B13="Salud Completo Copago",C13*2,
IF(B13="Salud Completo Copago Autónomo",C13*1.2,
IF(B13="Contigo Senior",C13*3,
IF(B13="Contigo Familia",C13*4,
IF(B13="Contigo Autónomo (ILT)",C13*2,
IF(B13="Plan Creciente SIALP",C13*1,
IF(B13="MiHogar Seguro",C13*1.5,
IF(B13="Líder Plus Accidentes",C13*4,
IF(B13="Seguro Comercio y Oficinas - CASER",C13*0.5,
IF(B13="Seguro Responsabilidad Civil - CASER",C13*0.4,0))))))))))))</f>
        <v/>
      </c>
      <c r="F13" s="9" t="str">
        <f aca="false">IF(ISBLANK(B13),"",
IF(B13="Salud Completo",C13*0.16,
IF(B13="Salud Completo Copago",C13*0.16,
IF(B13="Salud Completo Copago Autónomo",C13*0.16,
IF(B13="Contigo Senior",
    IF(D13="55-70 años",C13*1,
    IF(D13="71-75 años",C13*0.82,
    IF(D13="76-80 años",C13*0.7,0))),
IF(B13="Contigo Familia",C13*1.5,
IF(B13="Contigo Autónomo (ILT)",C13*0.75,
IF(B13="Plan Creciente SIALP",C13*0.27,
IF(B13="MiHogar Seguro",C13*1,
IF(B13="Líder Plus Accidentes",C13*1.8,
IF(B13="Seguro Comercio y Oficinas - CASER",C13*0.21,
IF(B13="Seguro Responsabilidad Civil - CASER",C13*0.18,0))))))))))))</f>
        <v/>
      </c>
      <c r="G13" s="9" t="str">
        <f aca="false">IF(ISBLANK(B13),"",
IF(B13="Salud Completo",F13*0.0112/12,
IF(B13="Salud Completo Copago",F13*0.0112/12,
IF(B13="Salud Completo Copago Autónomo",F13*0.0112/12,
IF(B13="Contigo Senior",
    IF(D13="55-70 años",F13*0.07/12,
    IF(D13="71-75 años",F13*0.0574/12,
    IF(D13="76-80 años",F13*0.049/12,0))),
IF(B13="Contigo Familia",F13*0.105/12,
IF(B13="Contigo Autónomo (ILT)",F13*0.105/12,
IF(B13="Plan Creciente SIALP",F13*0.0189,
IF(B13="MiHogar Seguro",F13*0.042/12,
IF(B13="Líder Plus Accidentes",F13*0.25/12,
IF(B13="Seguro Comercio y Oficinas - CASER",F13*0.21/12,
IF(B13="Seguro Responsabilidad Civil - CASER",F13*0.18/12,0))))))))))))</f>
        <v/>
      </c>
      <c r="H13" s="10" t="str">
        <f aca="false">IF(ISBLANK(B13),"",
IF(OR(B13="Salud Completo",B13="Salud Completo Copago",B13="Salud Completo Copago Autónomo",
B13="Contigo Senior",B13="Contigo Familia",B13="Contigo Autónomo (ILT)",
B13="MiHogar Seguro",B13="Líder Plus Accidentes"),"✅","❌"))</f>
        <v/>
      </c>
    </row>
    <row r="14" customFormat="false" ht="15" hidden="false" customHeight="true" outlineLevel="0" collapsed="false">
      <c r="A14" s="4" t="n">
        <v>12</v>
      </c>
      <c r="B14" s="5"/>
      <c r="C14" s="6"/>
      <c r="D14" s="7"/>
      <c r="E14" s="8" t="str">
        <f aca="false">IF(ISBLANK(B14),"",
IF(B14="Salud Completo",C14*1.5,
IF(B14="Salud Completo Copago",C14*2,
IF(B14="Salud Completo Copago Autónomo",C14*1.2,
IF(B14="Contigo Senior",C14*3,
IF(B14="Contigo Familia",C14*4,
IF(B14="Contigo Autónomo (ILT)",C14*2,
IF(B14="Plan Creciente SIALP",C14*1,
IF(B14="MiHogar Seguro",C14*1.5,
IF(B14="Líder Plus Accidentes",C14*4,
IF(B14="Seguro Comercio y Oficinas - CASER",C14*0.5,
IF(B14="Seguro Responsabilidad Civil - CASER",C14*0.4,0))))))))))))</f>
        <v/>
      </c>
      <c r="F14" s="9" t="str">
        <f aca="false">IF(ISBLANK(B14),"",
IF(B14="Salud Completo",C14*0.16,
IF(B14="Salud Completo Copago",C14*0.16,
IF(B14="Salud Completo Copago Autónomo",C14*0.16,
IF(B14="Contigo Senior",
    IF(D14="55-70 años",C14*1,
    IF(D14="71-75 años",C14*0.82,
    IF(D14="76-80 años",C14*0.7,0))),
IF(B14="Contigo Familia",C14*1.5,
IF(B14="Contigo Autónomo (ILT)",C14*0.75,
IF(B14="Plan Creciente SIALP",C14*0.27,
IF(B14="MiHogar Seguro",C14*1,
IF(B14="Líder Plus Accidentes",C14*1.8,
IF(B14="Seguro Comercio y Oficinas - CASER",C14*0.21,
IF(B14="Seguro Responsabilidad Civil - CASER",C14*0.18,0))))))))))))</f>
        <v/>
      </c>
      <c r="G14" s="9" t="str">
        <f aca="false">IF(ISBLANK(B14),"",
IF(B14="Salud Completo",F14*0.0112/12,
IF(B14="Salud Completo Copago",F14*0.0112/12,
IF(B14="Salud Completo Copago Autónomo",F14*0.0112/12,
IF(B14="Contigo Senior",
    IF(D14="55-70 años",F14*0.07/12,
    IF(D14="71-75 años",F14*0.0574/12,
    IF(D14="76-80 años",F14*0.049/12,0))),
IF(B14="Contigo Familia",F14*0.105/12,
IF(B14="Contigo Autónomo (ILT)",F14*0.105/12,
IF(B14="Plan Creciente SIALP",F14*0.0189,
IF(B14="MiHogar Seguro",F14*0.042/12,
IF(B14="Líder Plus Accidentes",F14*0.25/12,
IF(B14="Seguro Comercio y Oficinas - CASER",F14*0.21/12,
IF(B14="Seguro Responsabilidad Civil - CASER",F14*0.18/12,0))))))))))))</f>
        <v/>
      </c>
      <c r="H14" s="10" t="str">
        <f aca="false">IF(ISBLANK(B14),"",
IF(OR(B14="Salud Completo",B14="Salud Completo Copago",B14="Salud Completo Copago Autónomo",
B14="Contigo Senior",B14="Contigo Familia",B14="Contigo Autónomo (ILT)",
B14="MiHogar Seguro",B14="Líder Plus Accidentes"),"✅","❌"))</f>
        <v/>
      </c>
    </row>
    <row r="15" customFormat="false" ht="15" hidden="false" customHeight="true" outlineLevel="0" collapsed="false">
      <c r="A15" s="4" t="n">
        <v>13</v>
      </c>
      <c r="B15" s="5"/>
      <c r="C15" s="6"/>
      <c r="D15" s="7"/>
      <c r="E15" s="8" t="str">
        <f aca="false">IF(ISBLANK(B15),"",
IF(B15="Salud Completo",C15*1.5,
IF(B15="Salud Completo Copago",C15*2,
IF(B15="Salud Completo Copago Autónomo",C15*1.2,
IF(B15="Contigo Senior",C15*3,
IF(B15="Contigo Familia",C15*4,
IF(B15="Contigo Autónomo (ILT)",C15*2,
IF(B15="Plan Creciente SIALP",C15*1,
IF(B15="MiHogar Seguro",C15*1.5,
IF(B15="Líder Plus Accidentes",C15*4,
IF(B15="Seguro Comercio y Oficinas - CASER",C15*0.5,
IF(B15="Seguro Responsabilidad Civil - CASER",C15*0.4,0))))))))))))</f>
        <v/>
      </c>
      <c r="F15" s="9" t="str">
        <f aca="false">IF(ISBLANK(B15),"",
IF(B15="Salud Completo",C15*0.16,
IF(B15="Salud Completo Copago",C15*0.16,
IF(B15="Salud Completo Copago Autónomo",C15*0.16,
IF(B15="Contigo Senior",
    IF(D15="55-70 años",C15*1,
    IF(D15="71-75 años",C15*0.82,
    IF(D15="76-80 años",C15*0.7,0))),
IF(B15="Contigo Familia",C15*1.5,
IF(B15="Contigo Autónomo (ILT)",C15*0.75,
IF(B15="Plan Creciente SIALP",C15*0.27,
IF(B15="MiHogar Seguro",C15*1,
IF(B15="Líder Plus Accidentes",C15*1.8,
IF(B15="Seguro Comercio y Oficinas - CASER",C15*0.21,
IF(B15="Seguro Responsabilidad Civil - CASER",C15*0.18,0))))))))))))</f>
        <v/>
      </c>
      <c r="G15" s="9" t="str">
        <f aca="false">IF(ISBLANK(B15),"",
IF(B15="Salud Completo",F15*0.0112/12,
IF(B15="Salud Completo Copago",F15*0.0112/12,
IF(B15="Salud Completo Copago Autónomo",F15*0.0112/12,
IF(B15="Contigo Senior",
    IF(D15="55-70 años",F15*0.07/12,
    IF(D15="71-75 años",F15*0.0574/12,
    IF(D15="76-80 años",F15*0.049/12,0))),
IF(B15="Contigo Familia",F15*0.105/12,
IF(B15="Contigo Autónomo (ILT)",F15*0.105/12,
IF(B15="Plan Creciente SIALP",F15*0.0189,
IF(B15="MiHogar Seguro",F15*0.042/12,
IF(B15="Líder Plus Accidentes",F15*0.25/12,
IF(B15="Seguro Comercio y Oficinas - CASER",F15*0.21/12,
IF(B15="Seguro Responsabilidad Civil - CASER",F15*0.18/12,0))))))))))))</f>
        <v/>
      </c>
      <c r="H15" s="10" t="str">
        <f aca="false">IF(ISBLANK(B15),"",
IF(OR(B15="Salud Completo",B15="Salud Completo Copago",B15="Salud Completo Copago Autónomo",
B15="Contigo Senior",B15="Contigo Familia",B15="Contigo Autónomo (ILT)",
B15="MiHogar Seguro",B15="Líder Plus Accidentes"),"✅","❌"))</f>
        <v/>
      </c>
    </row>
    <row r="16" customFormat="false" ht="15" hidden="false" customHeight="true" outlineLevel="0" collapsed="false">
      <c r="A16" s="4" t="n">
        <v>14</v>
      </c>
      <c r="B16" s="5"/>
      <c r="C16" s="6"/>
      <c r="D16" s="7"/>
      <c r="E16" s="8" t="str">
        <f aca="false">IF(ISBLANK(B16),"",
IF(B16="Salud Completo",C16*1.5,
IF(B16="Salud Completo Copago",C16*2,
IF(B16="Salud Completo Copago Autónomo",C16*1.2,
IF(B16="Contigo Senior",C16*3,
IF(B16="Contigo Familia",C16*4,
IF(B16="Contigo Autónomo (ILT)",C16*2,
IF(B16="Plan Creciente SIALP",C16*1,
IF(B16="MiHogar Seguro",C16*1.5,
IF(B16="Líder Plus Accidentes",C16*4,
IF(B16="Seguro Comercio y Oficinas - CASER",C16*0.5,
IF(B16="Seguro Responsabilidad Civil - CASER",C16*0.4,0))))))))))))</f>
        <v/>
      </c>
      <c r="F16" s="9" t="str">
        <f aca="false">IF(ISBLANK(B16),"",
IF(B16="Salud Completo",C16*0.16,
IF(B16="Salud Completo Copago",C16*0.16,
IF(B16="Salud Completo Copago Autónomo",C16*0.16,
IF(B16="Contigo Senior",
    IF(D16="55-70 años",C16*1,
    IF(D16="71-75 años",C16*0.82,
    IF(D16="76-80 años",C16*0.7,0))),
IF(B16="Contigo Familia",C16*1.5,
IF(B16="Contigo Autónomo (ILT)",C16*0.75,
IF(B16="Plan Creciente SIALP",C16*0.27,
IF(B16="MiHogar Seguro",C16*1,
IF(B16="Líder Plus Accidentes",C16*1.8,
IF(B16="Seguro Comercio y Oficinas - CASER",C16*0.21,
IF(B16="Seguro Responsabilidad Civil - CASER",C16*0.18,0))))))))))))</f>
        <v/>
      </c>
      <c r="G16" s="9" t="str">
        <f aca="false">IF(ISBLANK(B16),"",
IF(B16="Salud Completo",F16*0.0112/12,
IF(B16="Salud Completo Copago",F16*0.0112/12,
IF(B16="Salud Completo Copago Autónomo",F16*0.0112/12,
IF(B16="Contigo Senior",
    IF(D16="55-70 años",F16*0.07/12,
    IF(D16="71-75 años",F16*0.0574/12,
    IF(D16="76-80 años",F16*0.049/12,0))),
IF(B16="Contigo Familia",F16*0.105/12,
IF(B16="Contigo Autónomo (ILT)",F16*0.105/12,
IF(B16="Plan Creciente SIALP",F16*0.0189,
IF(B16="MiHogar Seguro",F16*0.042/12,
IF(B16="Líder Plus Accidentes",F16*0.25/12,
IF(B16="Seguro Comercio y Oficinas - CASER",F16*0.21/12,
IF(B16="Seguro Responsabilidad Civil - CASER",F16*0.18/12,0))))))))))))</f>
        <v/>
      </c>
      <c r="H16" s="10" t="str">
        <f aca="false">IF(ISBLANK(B16),"",
IF(OR(B16="Salud Completo",B16="Salud Completo Copago",B16="Salud Completo Copago Autónomo",
B16="Contigo Senior",B16="Contigo Familia",B16="Contigo Autónomo (ILT)",
B16="MiHogar Seguro",B16="Líder Plus Accidentes"),"✅","❌"))</f>
        <v/>
      </c>
    </row>
    <row r="17" customFormat="false" ht="15" hidden="false" customHeight="true" outlineLevel="0" collapsed="false">
      <c r="A17" s="4" t="n">
        <v>15</v>
      </c>
      <c r="B17" s="5"/>
      <c r="C17" s="6"/>
      <c r="D17" s="7"/>
      <c r="E17" s="8" t="str">
        <f aca="false">IF(ISBLANK(B17),"",
IF(B17="Salud Completo",C17*1.5,
IF(B17="Salud Completo Copago",C17*2,
IF(B17="Salud Completo Copago Autónomo",C17*1.2,
IF(B17="Contigo Senior",C17*3,
IF(B17="Contigo Familia",C17*4,
IF(B17="Contigo Autónomo (ILT)",C17*2,
IF(B17="Plan Creciente SIALP",C17*1,
IF(B17="MiHogar Seguro",C17*1.5,
IF(B17="Líder Plus Accidentes",C17*4,
IF(B17="Seguro Comercio y Oficinas - CASER",C17*0.5,
IF(B17="Seguro Responsabilidad Civil - CASER",C17*0.4,0))))))))))))</f>
        <v/>
      </c>
      <c r="F17" s="9" t="str">
        <f aca="false">IF(ISBLANK(B17),"",
IF(B17="Salud Completo",C17*0.16,
IF(B17="Salud Completo Copago",C17*0.16,
IF(B17="Salud Completo Copago Autónomo",C17*0.16,
IF(B17="Contigo Senior",
    IF(D17="55-70 años",C17*1,
    IF(D17="71-75 años",C17*0.82,
    IF(D17="76-80 años",C17*0.7,0))),
IF(B17="Contigo Familia",C17*1.5,
IF(B17="Contigo Autónomo (ILT)",C17*0.75,
IF(B17="Plan Creciente SIALP",C17*0.27,
IF(B17="MiHogar Seguro",C17*1,
IF(B17="Líder Plus Accidentes",C17*1.8,
IF(B17="Seguro Comercio y Oficinas - CASER",C17*0.21,
IF(B17="Seguro Responsabilidad Civil - CASER",C17*0.18,0))))))))))))</f>
        <v/>
      </c>
      <c r="G17" s="9" t="str">
        <f aca="false">IF(ISBLANK(B17),"",
IF(B17="Salud Completo",F17*0.0112/12,
IF(B17="Salud Completo Copago",F17*0.0112/12,
IF(B17="Salud Completo Copago Autónomo",F17*0.0112/12,
IF(B17="Contigo Senior",
    IF(D17="55-70 años",F17*0.07/12,
    IF(D17="71-75 años",F17*0.0574/12,
    IF(D17="76-80 años",F17*0.049/12,0))),
IF(B17="Contigo Familia",F17*0.105/12,
IF(B17="Contigo Autónomo (ILT)",F17*0.105/12,
IF(B17="Plan Creciente SIALP",F17*0.0189,
IF(B17="MiHogar Seguro",F17*0.042/12,
IF(B17="Líder Plus Accidentes",F17*0.25/12,
IF(B17="Seguro Comercio y Oficinas - CASER",F17*0.21/12,
IF(B17="Seguro Responsabilidad Civil - CASER",F17*0.18/12,0))))))))))))</f>
        <v/>
      </c>
      <c r="H17" s="10" t="str">
        <f aca="false">IF(ISBLANK(B17),"",
IF(OR(B17="Salud Completo",B17="Salud Completo Copago",B17="Salud Completo Copago Autónomo",
B17="Contigo Senior",B17="Contigo Familia",B17="Contigo Autónomo (ILT)",
B17="MiHogar Seguro",B17="Líder Plus Accidentes"),"✅","❌"))</f>
        <v/>
      </c>
    </row>
    <row r="18" customFormat="false" ht="15" hidden="false" customHeight="true" outlineLevel="0" collapsed="false">
      <c r="A18" s="4" t="n">
        <v>16</v>
      </c>
      <c r="B18" s="5"/>
      <c r="C18" s="6"/>
      <c r="D18" s="7"/>
      <c r="E18" s="8" t="str">
        <f aca="false">IF(ISBLANK(B18),"",
IF(B18="Salud Completo",C18*1.5,
IF(B18="Salud Completo Copago",C18*2,
IF(B18="Salud Completo Copago Autónomo",C18*1.2,
IF(B18="Contigo Senior",C18*3,
IF(B18="Contigo Familia",C18*4,
IF(B18="Contigo Autónomo (ILT)",C18*2,
IF(B18="Plan Creciente SIALP",C18*1,
IF(B18="MiHogar Seguro",C18*1.5,
IF(B18="Líder Plus Accidentes",C18*4,
IF(B18="Seguro Comercio y Oficinas - CASER",C18*0.5,
IF(B18="Seguro Responsabilidad Civil - CASER",C18*0.4,0))))))))))))</f>
        <v/>
      </c>
      <c r="F18" s="9" t="str">
        <f aca="false">IF(ISBLANK(B18),"",
IF(B18="Salud Completo",C18*0.16,
IF(B18="Salud Completo Copago",C18*0.16,
IF(B18="Salud Completo Copago Autónomo",C18*0.16,
IF(B18="Contigo Senior",
    IF(D18="55-70 años",C18*1,
    IF(D18="71-75 años",C18*0.82,
    IF(D18="76-80 años",C18*0.7,0))),
IF(B18="Contigo Familia",C18*1.5,
IF(B18="Contigo Autónomo (ILT)",C18*0.75,
IF(B18="Plan Creciente SIALP",C18*0.27,
IF(B18="MiHogar Seguro",C18*1,
IF(B18="Líder Plus Accidentes",C18*1.8,
IF(B18="Seguro Comercio y Oficinas - CASER",C18*0.21,
IF(B18="Seguro Responsabilidad Civil - CASER",C18*0.18,0))))))))))))</f>
        <v/>
      </c>
      <c r="G18" s="9" t="str">
        <f aca="false">IF(ISBLANK(B18),"",
IF(B18="Salud Completo",F18*0.0112/12,
IF(B18="Salud Completo Copago",F18*0.0112/12,
IF(B18="Salud Completo Copago Autónomo",F18*0.0112/12,
IF(B18="Contigo Senior",
    IF(D18="55-70 años",F18*0.07/12,
    IF(D18="71-75 años",F18*0.0574/12,
    IF(D18="76-80 años",F18*0.049/12,0))),
IF(B18="Contigo Familia",F18*0.105/12,
IF(B18="Contigo Autónomo (ILT)",F18*0.105/12,
IF(B18="Plan Creciente SIALP",F18*0.0189,
IF(B18="MiHogar Seguro",F18*0.042/12,
IF(B18="Líder Plus Accidentes",F18*0.25/12,
IF(B18="Seguro Comercio y Oficinas - CASER",F18*0.21/12,
IF(B18="Seguro Responsabilidad Civil - CASER",F18*0.18/12,0))))))))))))</f>
        <v/>
      </c>
      <c r="H18" s="10" t="str">
        <f aca="false">IF(ISBLANK(B18),"",
IF(OR(B18="Salud Completo",B18="Salud Completo Copago",B18="Salud Completo Copago Autónomo",
B18="Contigo Senior",B18="Contigo Familia",B18="Contigo Autónomo (ILT)",
B18="MiHogar Seguro",B18="Líder Plus Accidentes"),"✅","❌"))</f>
        <v/>
      </c>
    </row>
    <row r="19" customFormat="false" ht="15" hidden="false" customHeight="true" outlineLevel="0" collapsed="false">
      <c r="A19" s="4" t="n">
        <v>17</v>
      </c>
      <c r="B19" s="5"/>
      <c r="C19" s="6"/>
      <c r="D19" s="7"/>
      <c r="E19" s="8" t="str">
        <f aca="false">IF(ISBLANK(B19),"",
IF(B19="Salud Completo",C19*1.5,
IF(B19="Salud Completo Copago",C19*2,
IF(B19="Salud Completo Copago Autónomo",C19*1.2,
IF(B19="Contigo Senior",C19*3,
IF(B19="Contigo Familia",C19*4,
IF(B19="Contigo Autónomo (ILT)",C19*2,
IF(B19="Plan Creciente SIALP",C19*1,
IF(B19="MiHogar Seguro",C19*1.5,
IF(B19="Líder Plus Accidentes",C19*4,
IF(B19="Seguro Comercio y Oficinas - CASER",C19*0.5,
IF(B19="Seguro Responsabilidad Civil - CASER",C19*0.4,0))))))))))))</f>
        <v/>
      </c>
      <c r="F19" s="9" t="str">
        <f aca="false">IF(ISBLANK(B19),"",
IF(B19="Salud Completo",C19*0.16,
IF(B19="Salud Completo Copago",C19*0.16,
IF(B19="Salud Completo Copago Autónomo",C19*0.16,
IF(B19="Contigo Senior",
    IF(D19="55-70 años",C19*1,
    IF(D19="71-75 años",C19*0.82,
    IF(D19="76-80 años",C19*0.7,0))),
IF(B19="Contigo Familia",C19*1.5,
IF(B19="Contigo Autónomo (ILT)",C19*0.75,
IF(B19="Plan Creciente SIALP",C19*0.27,
IF(B19="MiHogar Seguro",C19*1,
IF(B19="Líder Plus Accidentes",C19*1.8,
IF(B19="Seguro Comercio y Oficinas - CASER",C19*0.21,
IF(B19="Seguro Responsabilidad Civil - CASER",C19*0.18,0))))))))))))</f>
        <v/>
      </c>
      <c r="G19" s="9" t="str">
        <f aca="false">IF(ISBLANK(B19),"",
IF(B19="Salud Completo",F19*0.0112/12,
IF(B19="Salud Completo Copago",F19*0.0112/12,
IF(B19="Salud Completo Copago Autónomo",F19*0.0112/12,
IF(B19="Contigo Senior",
    IF(D19="55-70 años",F19*0.07/12,
    IF(D19="71-75 años",F19*0.0574/12,
    IF(D19="76-80 años",F19*0.049/12,0))),
IF(B19="Contigo Familia",F19*0.105/12,
IF(B19="Contigo Autónomo (ILT)",F19*0.105/12,
IF(B19="Plan Creciente SIALP",F19*0.0189,
IF(B19="MiHogar Seguro",F19*0.042/12,
IF(B19="Líder Plus Accidentes",F19*0.25/12,
IF(B19="Seguro Comercio y Oficinas - CASER",F19*0.21/12,
IF(B19="Seguro Responsabilidad Civil - CASER",F19*0.18/12,0))))))))))))</f>
        <v/>
      </c>
      <c r="H19" s="10" t="str">
        <f aca="false">IF(ISBLANK(B19),"",
IF(OR(B19="Salud Completo",B19="Salud Completo Copago",B19="Salud Completo Copago Autónomo",
B19="Contigo Senior",B19="Contigo Familia",B19="Contigo Autónomo (ILT)",
B19="MiHogar Seguro",B19="Líder Plus Accidentes"),"✅","❌"))</f>
        <v/>
      </c>
    </row>
    <row r="20" customFormat="false" ht="15" hidden="false" customHeight="true" outlineLevel="0" collapsed="false">
      <c r="A20" s="4" t="n">
        <v>18</v>
      </c>
      <c r="B20" s="5"/>
      <c r="C20" s="6"/>
      <c r="D20" s="7"/>
      <c r="E20" s="8" t="str">
        <f aca="false">IF(ISBLANK(B20),"",
IF(B20="Salud Completo",C20*1.5,
IF(B20="Salud Completo Copago",C20*2,
IF(B20="Salud Completo Copago Autónomo",C20*1.2,
IF(B20="Contigo Senior",C20*3,
IF(B20="Contigo Familia",C20*4,
IF(B20="Contigo Autónomo (ILT)",C20*2,
IF(B20="Plan Creciente SIALP",C20*1,
IF(B20="MiHogar Seguro",C20*1.5,
IF(B20="Líder Plus Accidentes",C20*4,
IF(B20="Seguro Comercio y Oficinas - CASER",C20*0.5,
IF(B20="Seguro Responsabilidad Civil - CASER",C20*0.4,0))))))))))))</f>
        <v/>
      </c>
      <c r="F20" s="9" t="str">
        <f aca="false">IF(ISBLANK(B20),"",
IF(B20="Salud Completo",C20*0.16,
IF(B20="Salud Completo Copago",C20*0.16,
IF(B20="Salud Completo Copago Autónomo",C20*0.16,
IF(B20="Contigo Senior",
    IF(D20="55-70 años",C20*1,
    IF(D20="71-75 años",C20*0.82,
    IF(D20="76-80 años",C20*0.7,0))),
IF(B20="Contigo Familia",C20*1.5,
IF(B20="Contigo Autónomo (ILT)",C20*0.75,
IF(B20="Plan Creciente SIALP",C20*0.27,
IF(B20="MiHogar Seguro",C20*1,
IF(B20="Líder Plus Accidentes",C20*1.8,
IF(B20="Seguro Comercio y Oficinas - CASER",C20*0.21,
IF(B20="Seguro Responsabilidad Civil - CASER",C20*0.18,0))))))))))))</f>
        <v/>
      </c>
      <c r="G20" s="9" t="str">
        <f aca="false">IF(ISBLANK(B20),"",
IF(B20="Salud Completo",F20*0.0112/12,
IF(B20="Salud Completo Copago",F20*0.0112/12,
IF(B20="Salud Completo Copago Autónomo",F20*0.0112/12,
IF(B20="Contigo Senior",
    IF(D20="55-70 años",F20*0.07/12,
    IF(D20="71-75 años",F20*0.0574/12,
    IF(D20="76-80 años",F20*0.049/12,0))),
IF(B20="Contigo Familia",F20*0.105/12,
IF(B20="Contigo Autónomo (ILT)",F20*0.105/12,
IF(B20="Plan Creciente SIALP",F20*0.0189,
IF(B20="MiHogar Seguro",F20*0.042/12,
IF(B20="Líder Plus Accidentes",F20*0.25/12,
IF(B20="Seguro Comercio y Oficinas - CASER",F20*0.21/12,
IF(B20="Seguro Responsabilidad Civil - CASER",F20*0.18/12,0))))))))))))</f>
        <v/>
      </c>
      <c r="H20" s="10" t="str">
        <f aca="false">IF(ISBLANK(B20),"",
IF(OR(B20="Salud Completo",B20="Salud Completo Copago",B20="Salud Completo Copago Autónomo",
B20="Contigo Senior",B20="Contigo Familia",B20="Contigo Autónomo (ILT)",
B20="MiHogar Seguro",B20="Líder Plus Accidentes"),"✅","❌"))</f>
        <v/>
      </c>
    </row>
    <row r="21" customFormat="false" ht="15" hidden="false" customHeight="true" outlineLevel="0" collapsed="false">
      <c r="A21" s="4" t="n">
        <v>19</v>
      </c>
      <c r="B21" s="5"/>
      <c r="C21" s="6"/>
      <c r="D21" s="7"/>
      <c r="E21" s="8" t="str">
        <f aca="false">IF(ISBLANK(B21),"",
IF(B21="Salud Completo",C21*1.5,
IF(B21="Salud Completo Copago",C21*2,
IF(B21="Salud Completo Copago Autónomo",C21*1.2,
IF(B21="Contigo Senior",C21*3,
IF(B21="Contigo Familia",C21*4,
IF(B21="Contigo Autónomo (ILT)",C21*2,
IF(B21="Plan Creciente SIALP",C21*1,
IF(B21="MiHogar Seguro",C21*1.5,
IF(B21="Líder Plus Accidentes",C21*4,
IF(B21="Seguro Comercio y Oficinas - CASER",C21*0.5,
IF(B21="Seguro Responsabilidad Civil - CASER",C21*0.4,0))))))))))))</f>
        <v/>
      </c>
      <c r="F21" s="9" t="str">
        <f aca="false">IF(ISBLANK(B21),"",
IF(B21="Salud Completo",C21*0.16,
IF(B21="Salud Completo Copago",C21*0.16,
IF(B21="Salud Completo Copago Autónomo",C21*0.16,
IF(B21="Contigo Senior",
    IF(D21="55-70 años",C21*1,
    IF(D21="71-75 años",C21*0.82,
    IF(D21="76-80 años",C21*0.7,0))),
IF(B21="Contigo Familia",C21*1.5,
IF(B21="Contigo Autónomo (ILT)",C21*0.75,
IF(B21="Plan Creciente SIALP",C21*0.27,
IF(B21="MiHogar Seguro",C21*1,
IF(B21="Líder Plus Accidentes",C21*1.8,
IF(B21="Seguro Comercio y Oficinas - CASER",C21*0.21,
IF(B21="Seguro Responsabilidad Civil - CASER",C21*0.18,0))))))))))))</f>
        <v/>
      </c>
      <c r="G21" s="9" t="str">
        <f aca="false">IF(ISBLANK(B21),"",
IF(B21="Salud Completo",F21*0.0112/12,
IF(B21="Salud Completo Copago",F21*0.0112/12,
IF(B21="Salud Completo Copago Autónomo",F21*0.0112/12,
IF(B21="Contigo Senior",
    IF(D21="55-70 años",F21*0.07/12,
    IF(D21="71-75 años",F21*0.0574/12,
    IF(D21="76-80 años",F21*0.049/12,0))),
IF(B21="Contigo Familia",F21*0.105/12,
IF(B21="Contigo Autónomo (ILT)",F21*0.105/12,
IF(B21="Plan Creciente SIALP",F21*0.0189,
IF(B21="MiHogar Seguro",F21*0.042/12,
IF(B21="Líder Plus Accidentes",F21*0.25/12,
IF(B21="Seguro Comercio y Oficinas - CASER",F21*0.21/12,
IF(B21="Seguro Responsabilidad Civil - CASER",F21*0.18/12,0))))))))))))</f>
        <v/>
      </c>
      <c r="H21" s="10" t="str">
        <f aca="false">IF(ISBLANK(B21),"",
IF(OR(B21="Salud Completo",B21="Salud Completo Copago",B21="Salud Completo Copago Autónomo",
B21="Contigo Senior",B21="Contigo Familia",B21="Contigo Autónomo (ILT)",
B21="MiHogar Seguro",B21="Líder Plus Accidentes"),"✅","❌"))</f>
        <v/>
      </c>
    </row>
    <row r="22" customFormat="false" ht="15" hidden="false" customHeight="true" outlineLevel="0" collapsed="false">
      <c r="A22" s="4" t="n">
        <v>20</v>
      </c>
      <c r="B22" s="5"/>
      <c r="C22" s="6"/>
      <c r="D22" s="7"/>
      <c r="E22" s="8" t="str">
        <f aca="false">IF(ISBLANK(B22),"",
IF(B22="Salud Completo",C22*1.5,
IF(B22="Salud Completo Copago",C22*2,
IF(B22="Salud Completo Copago Autónomo",C22*1.2,
IF(B22="Contigo Senior",C22*3,
IF(B22="Contigo Familia",C22*4,
IF(B22="Contigo Autónomo (ILT)",C22*2,
IF(B22="Plan Creciente SIALP",C22*1,
IF(B22="MiHogar Seguro",C22*1.5,
IF(B22="Líder Plus Accidentes",C22*4,
IF(B22="Seguro Comercio y Oficinas - CASER",C22*0.5,
IF(B22="Seguro Responsabilidad Civil - CASER",C22*0.4,0))))))))))))</f>
        <v/>
      </c>
      <c r="F22" s="9" t="str">
        <f aca="false">IF(ISBLANK(B22),"",
IF(B22="Salud Completo",C22*0.16,
IF(B22="Salud Completo Copago",C22*0.16,
IF(B22="Salud Completo Copago Autónomo",C22*0.16,
IF(B22="Contigo Senior",
    IF(D22="55-70 años",C22*1,
    IF(D22="71-75 años",C22*0.82,
    IF(D22="76-80 años",C22*0.7,0))),
IF(B22="Contigo Familia",C22*1.5,
IF(B22="Contigo Autónomo (ILT)",C22*0.75,
IF(B22="Plan Creciente SIALP",C22*0.27,
IF(B22="MiHogar Seguro",C22*1,
IF(B22="Líder Plus Accidentes",C22*1.8,
IF(B22="Seguro Comercio y Oficinas - CASER",C22*0.21,
IF(B22="Seguro Responsabilidad Civil - CASER",C22*0.18,0))))))))))))</f>
        <v/>
      </c>
      <c r="G22" s="9" t="str">
        <f aca="false">IF(ISBLANK(B22),"",
IF(B22="Salud Completo",F22*0.0112/12,
IF(B22="Salud Completo Copago",F22*0.0112/12,
IF(B22="Salud Completo Copago Autónomo",F22*0.0112/12,
IF(B22="Contigo Senior",
    IF(D22="55-70 años",F22*0.07/12,
    IF(D22="71-75 años",F22*0.0574/12,
    IF(D22="76-80 años",F22*0.049/12,0))),
IF(B22="Contigo Familia",F22*0.105/12,
IF(B22="Contigo Autónomo (ILT)",F22*0.105/12,
IF(B22="Plan Creciente SIALP",F22*0.0189,
IF(B22="MiHogar Seguro",F22*0.042/12,
IF(B22="Líder Plus Accidentes",F22*0.25/12,
IF(B22="Seguro Comercio y Oficinas - CASER",F22*0.21/12,
IF(B22="Seguro Responsabilidad Civil - CASER",F22*0.18/12,0))))))))))))</f>
        <v/>
      </c>
      <c r="H22" s="10" t="str">
        <f aca="false">IF(ISBLANK(B22),"",
IF(OR(B22="Salud Completo",B22="Salud Completo Copago",B22="Salud Completo Copago Autónomo",
B22="Contigo Senior",B22="Contigo Familia",B22="Contigo Autónomo (ILT)",
B22="MiHogar Seguro",B22="Líder Plus Accidentes"),"✅","❌"))</f>
        <v/>
      </c>
    </row>
    <row r="24" customFormat="false" ht="17.25" hidden="false" customHeight="true" outlineLevel="0" collapsed="false">
      <c r="J24" s="2" t="s">
        <v>13</v>
      </c>
      <c r="K24" s="2"/>
      <c r="L24" s="2"/>
      <c r="M24" s="2"/>
    </row>
    <row r="25" customFormat="false" ht="15" hidden="false" customHeight="true" outlineLevel="0" collapsed="false">
      <c r="L25" s="1" t="n">
        <f aca="false">COUNTA(B3:B22)</f>
        <v>3</v>
      </c>
    </row>
    <row r="26" customFormat="false" ht="15" hidden="false" customHeight="true" outlineLevel="0" collapsed="false">
      <c r="J26" s="11" t="s">
        <v>14</v>
      </c>
      <c r="L26" s="12" t="n">
        <f aca="false">SUM(E3:E22)</f>
        <v>5930</v>
      </c>
    </row>
    <row r="27" customFormat="false" ht="15" hidden="false" customHeight="true" outlineLevel="0" collapsed="false">
      <c r="J27" s="11" t="s">
        <v>15</v>
      </c>
      <c r="L27" s="13" t="n">
        <v>10291</v>
      </c>
      <c r="M27" s="1" t="s">
        <v>16</v>
      </c>
    </row>
    <row r="28" customFormat="false" ht="15" hidden="false" customHeight="true" outlineLevel="0" collapsed="false">
      <c r="J28" s="11" t="s">
        <v>17</v>
      </c>
      <c r="L28" s="13" t="n">
        <f aca="false">L26/L27</f>
        <v>0.57623165873093</v>
      </c>
      <c r="M28" s="1" t="s">
        <v>16</v>
      </c>
    </row>
    <row r="29" customFormat="false" ht="15" hidden="false" customHeight="true" outlineLevel="0" collapsed="false">
      <c r="J29" s="11" t="s">
        <v>18</v>
      </c>
      <c r="L29" s="14" t="n">
        <f aca="false">MAX(0,L27-L26)</f>
        <v>4361</v>
      </c>
      <c r="M29" s="1" t="str">
        <f aca="false">IF(L29&gt;=0.9,"🟢",IF(L29&gt;=0.7,"🟡","🔴"))</f>
        <v>🟢</v>
      </c>
    </row>
    <row r="30" customFormat="false" ht="15" hidden="false" customHeight="true" outlineLevel="0" collapsed="false">
      <c r="J30" s="11" t="s">
        <v>19</v>
      </c>
      <c r="L30" s="13" t="n">
        <f aca="false">MAX(0,L28-L26)</f>
        <v>0</v>
      </c>
      <c r="M30" s="1" t="s">
        <v>16</v>
      </c>
    </row>
    <row r="32" customFormat="false" ht="15" hidden="false" customHeight="true" outlineLevel="0" collapsed="false">
      <c r="J32" s="11" t="s">
        <v>20</v>
      </c>
      <c r="L32" s="13" t="n">
        <f aca="false">SUMIF(H3:H22,"✅",E3:E22)</f>
        <v>3930</v>
      </c>
      <c r="M32" s="1" t="str">
        <f aca="false">IF(L26=0,"0%",ROUND(L32/L26,0)&amp;"%")</f>
        <v>1%</v>
      </c>
    </row>
    <row r="33" customFormat="false" ht="15" hidden="false" customHeight="true" outlineLevel="0" collapsed="false">
      <c r="J33" s="11" t="s">
        <v>21</v>
      </c>
      <c r="L33" s="13" t="n">
        <f aca="false">L27*0.5</f>
        <v>5145.5</v>
      </c>
      <c r="M33" s="1" t="s">
        <v>16</v>
      </c>
    </row>
    <row r="35" customFormat="false" ht="15" hidden="false" customHeight="true" outlineLevel="0" collapsed="false">
      <c r="J35" s="15" t="s">
        <v>22</v>
      </c>
      <c r="K35" s="15"/>
      <c r="L35" s="15"/>
      <c r="M35" s="15"/>
    </row>
    <row r="36" customFormat="false" ht="15" hidden="false" customHeight="true" outlineLevel="0" collapsed="false">
      <c r="J36" s="1" t="s">
        <v>23</v>
      </c>
      <c r="L36" s="13" t="n">
        <f aca="false">IF(AND(L26&gt;=L27*0.9,L32/L26&gt;=0.45),900,
IF(AND(L26&gt;=L27*0.7,L32/L26&gt;=0.4),700,0))</f>
        <v>0</v>
      </c>
      <c r="M36" s="1" t="s">
        <v>24</v>
      </c>
    </row>
    <row r="37" customFormat="false" ht="15" hidden="false" customHeight="true" outlineLevel="0" collapsed="false">
      <c r="J37" s="1" t="s">
        <v>25</v>
      </c>
      <c r="L37" s="13" t="n">
        <f aca="false">IF(AND(L26&gt;=L27,L32/L26&gt;=0.5),300,0)</f>
        <v>0</v>
      </c>
      <c r="M37" s="1" t="s">
        <v>24</v>
      </c>
    </row>
    <row r="38" customFormat="false" ht="15" hidden="false" customHeight="true" outlineLevel="0" collapsed="false">
      <c r="J38" s="1" t="s">
        <v>26</v>
      </c>
      <c r="L38" s="13" t="n">
        <f aca="false">IF(L32/L26&gt;=1,550,
IF(L32/L26&gt;=0.85,450,
IF(L32/L26&gt;=0.75,300,
IF(L32/L26&gt;=0.65,200,
IF(L32/L26&gt;=0.5,100,
IF(L32/L26&gt;=0.4,0,
IF(L32/L26&gt;=0.35,-100,-200)))))))</f>
        <v>200</v>
      </c>
      <c r="M38" s="1" t="s">
        <v>24</v>
      </c>
    </row>
    <row r="39" customFormat="false" ht="15" hidden="false" customHeight="true" outlineLevel="0" collapsed="false">
      <c r="J39" s="1" t="s">
        <v>27</v>
      </c>
      <c r="L39" s="13" t="n">
        <f aca="false">SUM(F3:F22)*0.08</f>
        <v>98.624</v>
      </c>
      <c r="M39" s="1" t="s">
        <v>24</v>
      </c>
    </row>
    <row r="40" customFormat="false" ht="15" hidden="false" customHeight="true" outlineLevel="0" collapsed="false">
      <c r="J40" s="1" t="s">
        <v>28</v>
      </c>
      <c r="L40" s="16" t="n">
        <f aca="false">SUM(G3:G22)</f>
        <v>12.4402133333333</v>
      </c>
      <c r="M40" s="1" t="s">
        <v>24</v>
      </c>
    </row>
    <row r="42" customFormat="false" ht="15" hidden="false" customHeight="true" outlineLevel="0" collapsed="false">
      <c r="J42" s="17" t="s">
        <v>29</v>
      </c>
      <c r="L42" s="18" t="n">
        <f aca="false">L36+L37+L38+L39+L40</f>
        <v>311.064213333333</v>
      </c>
      <c r="M42" s="1" t="s">
        <v>24</v>
      </c>
    </row>
    <row r="43" customFormat="false" ht="15" hidden="false" customHeight="true" outlineLevel="0" collapsed="false">
      <c r="J43" s="1" t="s">
        <v>30</v>
      </c>
      <c r="L43" s="16" t="n">
        <f aca="false">-L42*0.15</f>
        <v>-46.659632</v>
      </c>
      <c r="M43" s="1" t="s">
        <v>24</v>
      </c>
    </row>
    <row r="45" customFormat="false" ht="17.25" hidden="false" customHeight="true" outlineLevel="0" collapsed="false">
      <c r="J45" s="19" t="s">
        <v>31</v>
      </c>
      <c r="L45" s="20" t="n">
        <f aca="false">L42+L43</f>
        <v>264.404581333333</v>
      </c>
      <c r="M45" s="19" t="s">
        <v>24</v>
      </c>
    </row>
    <row r="48" customFormat="false" ht="17.25" hidden="false" customHeight="true" outlineLevel="0" collapsed="false">
      <c r="J48" s="2" t="s">
        <v>32</v>
      </c>
      <c r="K48" s="2"/>
      <c r="L48" s="2"/>
      <c r="M48" s="2"/>
    </row>
    <row r="50" customFormat="false" ht="15" hidden="false" customHeight="true" outlineLevel="0" collapsed="false">
      <c r="J50" s="11" t="s">
        <v>33</v>
      </c>
      <c r="L50" s="21" t="n">
        <v>1</v>
      </c>
      <c r="M50" s="1" t="s">
        <v>34</v>
      </c>
    </row>
    <row r="52" customFormat="false" ht="15" hidden="false" customHeight="true" outlineLevel="0" collapsed="false">
      <c r="J52" s="11" t="s">
        <v>35</v>
      </c>
      <c r="K52" s="22" t="s">
        <v>36</v>
      </c>
      <c r="L52" s="23" t="n">
        <v>0</v>
      </c>
      <c r="M52" s="1" t="s">
        <v>16</v>
      </c>
    </row>
    <row r="53" customFormat="false" ht="15" hidden="false" customHeight="true" outlineLevel="0" collapsed="false">
      <c r="J53" s="11" t="s">
        <v>37</v>
      </c>
      <c r="L53" s="13" t="n">
        <f aca="false">ROUND(L28/4,0)</f>
        <v>0</v>
      </c>
      <c r="M53" s="1" t="s">
        <v>16</v>
      </c>
    </row>
    <row r="54" customFormat="false" ht="15" hidden="false" customHeight="true" outlineLevel="0" collapsed="false">
      <c r="J54" s="11" t="s">
        <v>38</v>
      </c>
      <c r="L54" s="14" t="n">
        <f aca="false">IF(L53=0,0,L52/L53)</f>
        <v>0</v>
      </c>
      <c r="M54" s="1" t="str">
        <f aca="false">IF(L54&gt;=0.9,"🟢",IF(L54&gt;=0.7,"🟡","🔴"))</f>
        <v>🔴</v>
      </c>
    </row>
    <row r="55" customFormat="false" ht="15" hidden="false" customHeight="true" outlineLevel="0" collapsed="false">
      <c r="J55" s="11" t="s">
        <v>39</v>
      </c>
      <c r="L55" s="13" t="n">
        <f aca="false">MAX(0,L53-L52)</f>
        <v>0</v>
      </c>
      <c r="M55" s="1" t="s">
        <v>16</v>
      </c>
    </row>
    <row r="57" customFormat="false" ht="15" hidden="false" customHeight="true" outlineLevel="0" collapsed="false">
      <c r="J57" s="15" t="s">
        <v>40</v>
      </c>
      <c r="K57" s="15"/>
      <c r="L57" s="15"/>
      <c r="M57" s="15"/>
    </row>
    <row r="58" customFormat="false" ht="15" hidden="false" customHeight="true" outlineLevel="0" collapsed="false">
      <c r="J58" s="1" t="s">
        <v>41</v>
      </c>
      <c r="L58" s="13" t="n">
        <f aca="false">L52*4</f>
        <v>0</v>
      </c>
      <c r="M58" s="1" t="str">
        <f aca="false">IF(L58&gt;=L28,"✅","❌")</f>
        <v>❌</v>
      </c>
    </row>
    <row r="59" customFormat="false" ht="15" hidden="false" customHeight="true" outlineLevel="0" collapsed="false">
      <c r="J59" s="1" t="s">
        <v>42</v>
      </c>
      <c r="L59" s="13" t="n">
        <f aca="false">IF((4-L50)&lt;=0,0,MAX(0,(L28-L27)/(4-L50)))</f>
        <v>0</v>
      </c>
      <c r="M59" s="1" t="s">
        <v>43</v>
      </c>
    </row>
  </sheetData>
  <sheetProtection sheet="true" password="a2df"/>
  <mergeCells count="5">
    <mergeCell ref="A1:H1"/>
    <mergeCell ref="J24:M24"/>
    <mergeCell ref="J35:M35"/>
    <mergeCell ref="J48:M48"/>
    <mergeCell ref="J57:M57"/>
  </mergeCells>
  <dataValidations count="2">
    <dataValidation allowBlank="true" errorStyle="stop" operator="between" showDropDown="false" showErrorMessage="false" showInputMessage="false" sqref="B3:B22" type="list">
      <formula1>"Salud Completo,Salud Completo Copago,Salud Completo Copago Autónomo,Contigo Senior,Contigo Familia,Contigo Autónomo (ILT),Plan Creciente SIALP,MiHogar Seguro,Líder Plus Accidentes,Seguro Comercio y Oficinas - CASER,Seguro Responsabilidad Civil - CASER"</formula1>
      <formula2>0</formula2>
    </dataValidation>
    <dataValidation allowBlank="true" errorStyle="stop" operator="between" showDropDown="false" showErrorMessage="false" showInputMessage="false" sqref="D3:D22" type="list">
      <formula1>"55-70 años,71-75 años,76-80 años"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5" min="3" style="1" width="12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8</v>
      </c>
    </row>
    <row r="3" customFormat="false" ht="15" hidden="false" customHeight="true" outlineLevel="0" collapsed="false">
      <c r="A3" s="4" t="n">
        <f aca="false">'Mi Sprint'!A3</f>
        <v>1</v>
      </c>
      <c r="B3" s="24" t="str">
        <f aca="false">'Mi Sprint'!B3</f>
        <v>Salud Completo</v>
      </c>
      <c r="C3" s="6" t="n">
        <f aca="false">'Mi Sprint'!C3</f>
        <v>1180</v>
      </c>
      <c r="D3" s="24" t="n">
        <f aca="false">'Mi Sprint'!D3</f>
        <v>0</v>
      </c>
      <c r="E3" s="8" t="n">
        <f aca="false">'Mi Sprint'!E3</f>
        <v>1770</v>
      </c>
      <c r="F3" s="10" t="str">
        <f aca="false">'Mi Sprint'!H3</f>
        <v>✅</v>
      </c>
    </row>
    <row r="4" customFormat="false" ht="15" hidden="false" customHeight="true" outlineLevel="0" collapsed="false">
      <c r="A4" s="4" t="n">
        <f aca="false">'Mi Sprint'!A4</f>
        <v>2</v>
      </c>
      <c r="B4" s="24" t="str">
        <f aca="false">'Mi Sprint'!B4</f>
        <v>Contigo Senior</v>
      </c>
      <c r="C4" s="6" t="n">
        <f aca="false">'Mi Sprint'!C4</f>
        <v>720</v>
      </c>
      <c r="D4" s="24" t="str">
        <f aca="false">'Mi Sprint'!D4</f>
        <v>76-80 años</v>
      </c>
      <c r="E4" s="8" t="n">
        <f aca="false">'Mi Sprint'!E4</f>
        <v>2160</v>
      </c>
      <c r="F4" s="10" t="str">
        <f aca="false">'Mi Sprint'!H4</f>
        <v>✅</v>
      </c>
    </row>
    <row r="5" customFormat="false" ht="15" hidden="false" customHeight="true" outlineLevel="0" collapsed="false">
      <c r="A5" s="4" t="n">
        <f aca="false">'Mi Sprint'!A5</f>
        <v>3</v>
      </c>
      <c r="B5" s="24" t="str">
        <f aca="false">'Mi Sprint'!B5</f>
        <v>Plan Creciente SIALP</v>
      </c>
      <c r="C5" s="6" t="n">
        <f aca="false">'Mi Sprint'!C5</f>
        <v>2000</v>
      </c>
      <c r="D5" s="24" t="n">
        <f aca="false">'Mi Sprint'!D5</f>
        <v>0</v>
      </c>
      <c r="E5" s="8" t="n">
        <f aca="false">'Mi Sprint'!E5</f>
        <v>2000</v>
      </c>
      <c r="F5" s="10" t="str">
        <f aca="false">'Mi Sprint'!H5</f>
        <v>❌</v>
      </c>
    </row>
    <row r="6" customFormat="false" ht="15" hidden="false" customHeight="true" outlineLevel="0" collapsed="false">
      <c r="A6" s="4" t="n">
        <f aca="false">'Mi Sprint'!A6</f>
        <v>4</v>
      </c>
      <c r="B6" s="24" t="n">
        <f aca="false">'Mi Sprint'!B6</f>
        <v>0</v>
      </c>
      <c r="C6" s="6" t="n">
        <f aca="false">'Mi Sprint'!C6</f>
        <v>0</v>
      </c>
      <c r="D6" s="24" t="n">
        <f aca="false">'Mi Sprint'!D6</f>
        <v>0</v>
      </c>
      <c r="E6" s="8" t="str">
        <f aca="false">'Mi Sprint'!E6</f>
        <v/>
      </c>
      <c r="F6" s="10" t="str">
        <f aca="false">'Mi Sprint'!H6</f>
        <v/>
      </c>
    </row>
    <row r="7" customFormat="false" ht="15" hidden="false" customHeight="true" outlineLevel="0" collapsed="false">
      <c r="A7" s="4" t="n">
        <f aca="false">'Mi Sprint'!A7</f>
        <v>5</v>
      </c>
      <c r="B7" s="24" t="n">
        <f aca="false">'Mi Sprint'!B7</f>
        <v>0</v>
      </c>
      <c r="C7" s="6" t="n">
        <f aca="false">'Mi Sprint'!C7</f>
        <v>0</v>
      </c>
      <c r="D7" s="24" t="n">
        <f aca="false">'Mi Sprint'!D7</f>
        <v>0</v>
      </c>
      <c r="E7" s="8" t="str">
        <f aca="false">'Mi Sprint'!E7</f>
        <v/>
      </c>
      <c r="F7" s="10" t="str">
        <f aca="false">'Mi Sprint'!H7</f>
        <v/>
      </c>
    </row>
    <row r="8" customFormat="false" ht="15" hidden="false" customHeight="true" outlineLevel="0" collapsed="false">
      <c r="A8" s="4" t="n">
        <f aca="false">'Mi Sprint'!A8</f>
        <v>6</v>
      </c>
      <c r="B8" s="24" t="n">
        <f aca="false">'Mi Sprint'!B8</f>
        <v>0</v>
      </c>
      <c r="C8" s="6" t="n">
        <f aca="false">'Mi Sprint'!C8</f>
        <v>0</v>
      </c>
      <c r="D8" s="24" t="n">
        <f aca="false">'Mi Sprint'!D8</f>
        <v>0</v>
      </c>
      <c r="E8" s="8" t="str">
        <f aca="false">'Mi Sprint'!E8</f>
        <v/>
      </c>
      <c r="F8" s="10" t="str">
        <f aca="false">'Mi Sprint'!H8</f>
        <v/>
      </c>
    </row>
    <row r="9" customFormat="false" ht="15" hidden="false" customHeight="true" outlineLevel="0" collapsed="false">
      <c r="A9" s="4" t="n">
        <f aca="false">'Mi Sprint'!A9</f>
        <v>7</v>
      </c>
      <c r="B9" s="24" t="n">
        <f aca="false">'Mi Sprint'!B9</f>
        <v>0</v>
      </c>
      <c r="C9" s="6" t="n">
        <f aca="false">'Mi Sprint'!C9</f>
        <v>0</v>
      </c>
      <c r="D9" s="24" t="n">
        <f aca="false">'Mi Sprint'!D9</f>
        <v>0</v>
      </c>
      <c r="E9" s="8" t="str">
        <f aca="false">'Mi Sprint'!E9</f>
        <v/>
      </c>
      <c r="F9" s="10" t="str">
        <f aca="false">'Mi Sprint'!H9</f>
        <v/>
      </c>
    </row>
    <row r="10" customFormat="false" ht="15" hidden="false" customHeight="true" outlineLevel="0" collapsed="false">
      <c r="A10" s="4" t="n">
        <f aca="false">'Mi Sprint'!A10</f>
        <v>8</v>
      </c>
      <c r="B10" s="24" t="n">
        <f aca="false">'Mi Sprint'!B10</f>
        <v>0</v>
      </c>
      <c r="C10" s="6" t="n">
        <f aca="false">'Mi Sprint'!C10</f>
        <v>0</v>
      </c>
      <c r="D10" s="24" t="n">
        <f aca="false">'Mi Sprint'!D10</f>
        <v>0</v>
      </c>
      <c r="E10" s="8" t="str">
        <f aca="false">'Mi Sprint'!E10</f>
        <v/>
      </c>
      <c r="F10" s="10" t="str">
        <f aca="false">'Mi Sprint'!H10</f>
        <v/>
      </c>
    </row>
    <row r="11" customFormat="false" ht="15" hidden="false" customHeight="true" outlineLevel="0" collapsed="false">
      <c r="A11" s="4" t="n">
        <f aca="false">'Mi Sprint'!A11</f>
        <v>9</v>
      </c>
      <c r="B11" s="24" t="n">
        <f aca="false">'Mi Sprint'!B11</f>
        <v>0</v>
      </c>
      <c r="C11" s="6" t="n">
        <f aca="false">'Mi Sprint'!C11</f>
        <v>0</v>
      </c>
      <c r="D11" s="24" t="n">
        <f aca="false">'Mi Sprint'!D11</f>
        <v>0</v>
      </c>
      <c r="E11" s="8" t="str">
        <f aca="false">'Mi Sprint'!E11</f>
        <v/>
      </c>
      <c r="F11" s="10" t="str">
        <f aca="false">'Mi Sprint'!H11</f>
        <v/>
      </c>
    </row>
    <row r="12" customFormat="false" ht="15" hidden="false" customHeight="true" outlineLevel="0" collapsed="false">
      <c r="A12" s="4" t="n">
        <f aca="false">'Mi Sprint'!A12</f>
        <v>10</v>
      </c>
      <c r="B12" s="24" t="n">
        <f aca="false">'Mi Sprint'!B12</f>
        <v>0</v>
      </c>
      <c r="C12" s="6" t="n">
        <f aca="false">'Mi Sprint'!C12</f>
        <v>0</v>
      </c>
      <c r="D12" s="24" t="n">
        <f aca="false">'Mi Sprint'!D12</f>
        <v>0</v>
      </c>
      <c r="E12" s="8" t="str">
        <f aca="false">'Mi Sprint'!E12</f>
        <v/>
      </c>
      <c r="F12" s="10" t="str">
        <f aca="false">'Mi Sprint'!H12</f>
        <v/>
      </c>
    </row>
    <row r="13" customFormat="false" ht="15" hidden="false" customHeight="true" outlineLevel="0" collapsed="false">
      <c r="A13" s="4" t="n">
        <f aca="false">'Mi Sprint'!A13</f>
        <v>11</v>
      </c>
      <c r="B13" s="24" t="n">
        <f aca="false">'Mi Sprint'!B13</f>
        <v>0</v>
      </c>
      <c r="C13" s="6" t="n">
        <f aca="false">'Mi Sprint'!C13</f>
        <v>0</v>
      </c>
      <c r="D13" s="24" t="n">
        <f aca="false">'Mi Sprint'!D13</f>
        <v>0</v>
      </c>
      <c r="E13" s="8" t="str">
        <f aca="false">'Mi Sprint'!E13</f>
        <v/>
      </c>
      <c r="F13" s="10" t="str">
        <f aca="false">'Mi Sprint'!H13</f>
        <v/>
      </c>
    </row>
    <row r="14" customFormat="false" ht="15" hidden="false" customHeight="true" outlineLevel="0" collapsed="false">
      <c r="A14" s="4" t="n">
        <f aca="false">'Mi Sprint'!A14</f>
        <v>12</v>
      </c>
      <c r="B14" s="24" t="n">
        <f aca="false">'Mi Sprint'!B14</f>
        <v>0</v>
      </c>
      <c r="C14" s="6" t="n">
        <f aca="false">'Mi Sprint'!C14</f>
        <v>0</v>
      </c>
      <c r="D14" s="24" t="n">
        <f aca="false">'Mi Sprint'!D14</f>
        <v>0</v>
      </c>
      <c r="E14" s="8" t="str">
        <f aca="false">'Mi Sprint'!E14</f>
        <v/>
      </c>
      <c r="F14" s="10" t="str">
        <f aca="false">'Mi Sprint'!H14</f>
        <v/>
      </c>
    </row>
    <row r="15" customFormat="false" ht="15" hidden="false" customHeight="true" outlineLevel="0" collapsed="false">
      <c r="A15" s="4" t="n">
        <f aca="false">'Mi Sprint'!A15</f>
        <v>13</v>
      </c>
      <c r="B15" s="24" t="n">
        <f aca="false">'Mi Sprint'!B15</f>
        <v>0</v>
      </c>
      <c r="C15" s="6" t="n">
        <f aca="false">'Mi Sprint'!C15</f>
        <v>0</v>
      </c>
      <c r="D15" s="24" t="n">
        <f aca="false">'Mi Sprint'!D15</f>
        <v>0</v>
      </c>
      <c r="E15" s="8" t="str">
        <f aca="false">'Mi Sprint'!E15</f>
        <v/>
      </c>
      <c r="F15" s="10" t="str">
        <f aca="false">'Mi Sprint'!H15</f>
        <v/>
      </c>
    </row>
    <row r="16" customFormat="false" ht="15" hidden="false" customHeight="true" outlineLevel="0" collapsed="false">
      <c r="A16" s="4" t="n">
        <f aca="false">'Mi Sprint'!A16</f>
        <v>14</v>
      </c>
      <c r="B16" s="24" t="n">
        <f aca="false">'Mi Sprint'!B16</f>
        <v>0</v>
      </c>
      <c r="C16" s="6" t="n">
        <f aca="false">'Mi Sprint'!C16</f>
        <v>0</v>
      </c>
      <c r="D16" s="24" t="n">
        <f aca="false">'Mi Sprint'!D16</f>
        <v>0</v>
      </c>
      <c r="E16" s="8" t="str">
        <f aca="false">'Mi Sprint'!E16</f>
        <v/>
      </c>
      <c r="F16" s="10" t="str">
        <f aca="false">'Mi Sprint'!H16</f>
        <v/>
      </c>
    </row>
    <row r="17" customFormat="false" ht="15" hidden="false" customHeight="true" outlineLevel="0" collapsed="false">
      <c r="A17" s="4" t="n">
        <f aca="false">'Mi Sprint'!A17</f>
        <v>15</v>
      </c>
      <c r="B17" s="24" t="n">
        <f aca="false">'Mi Sprint'!B17</f>
        <v>0</v>
      </c>
      <c r="C17" s="6" t="n">
        <f aca="false">'Mi Sprint'!C17</f>
        <v>0</v>
      </c>
      <c r="D17" s="24" t="n">
        <f aca="false">'Mi Sprint'!D17</f>
        <v>0</v>
      </c>
      <c r="E17" s="8" t="str">
        <f aca="false">'Mi Sprint'!E17</f>
        <v/>
      </c>
      <c r="F17" s="10" t="str">
        <f aca="false">'Mi Sprint'!H17</f>
        <v/>
      </c>
    </row>
    <row r="18" customFormat="false" ht="15" hidden="false" customHeight="true" outlineLevel="0" collapsed="false">
      <c r="A18" s="4" t="n">
        <f aca="false">'Mi Sprint'!A18</f>
        <v>16</v>
      </c>
      <c r="B18" s="24" t="n">
        <f aca="false">'Mi Sprint'!B18</f>
        <v>0</v>
      </c>
      <c r="C18" s="6" t="n">
        <f aca="false">'Mi Sprint'!C18</f>
        <v>0</v>
      </c>
      <c r="D18" s="24" t="n">
        <f aca="false">'Mi Sprint'!D18</f>
        <v>0</v>
      </c>
      <c r="E18" s="8" t="str">
        <f aca="false">'Mi Sprint'!E18</f>
        <v/>
      </c>
      <c r="F18" s="10" t="str">
        <f aca="false">'Mi Sprint'!H18</f>
        <v/>
      </c>
    </row>
    <row r="19" customFormat="false" ht="15" hidden="false" customHeight="true" outlineLevel="0" collapsed="false">
      <c r="A19" s="4" t="n">
        <f aca="false">'Mi Sprint'!A19</f>
        <v>17</v>
      </c>
      <c r="B19" s="24" t="n">
        <f aca="false">'Mi Sprint'!B19</f>
        <v>0</v>
      </c>
      <c r="C19" s="6" t="n">
        <f aca="false">'Mi Sprint'!C19</f>
        <v>0</v>
      </c>
      <c r="D19" s="24" t="n">
        <f aca="false">'Mi Sprint'!D19</f>
        <v>0</v>
      </c>
      <c r="E19" s="8" t="str">
        <f aca="false">'Mi Sprint'!E19</f>
        <v/>
      </c>
      <c r="F19" s="10" t="str">
        <f aca="false">'Mi Sprint'!H19</f>
        <v/>
      </c>
    </row>
    <row r="20" customFormat="false" ht="15" hidden="false" customHeight="true" outlineLevel="0" collapsed="false">
      <c r="A20" s="4" t="n">
        <f aca="false">'Mi Sprint'!A20</f>
        <v>18</v>
      </c>
      <c r="B20" s="24" t="n">
        <f aca="false">'Mi Sprint'!B20</f>
        <v>0</v>
      </c>
      <c r="C20" s="6" t="n">
        <f aca="false">'Mi Sprint'!C20</f>
        <v>0</v>
      </c>
      <c r="D20" s="24" t="n">
        <f aca="false">'Mi Sprint'!D20</f>
        <v>0</v>
      </c>
      <c r="E20" s="8" t="str">
        <f aca="false">'Mi Sprint'!E20</f>
        <v/>
      </c>
      <c r="F20" s="10" t="str">
        <f aca="false">'Mi Sprint'!H20</f>
        <v/>
      </c>
    </row>
    <row r="21" customFormat="false" ht="15" hidden="false" customHeight="true" outlineLevel="0" collapsed="false">
      <c r="A21" s="4" t="n">
        <f aca="false">'Mi Sprint'!A21</f>
        <v>19</v>
      </c>
      <c r="B21" s="24" t="n">
        <f aca="false">'Mi Sprint'!B21</f>
        <v>0</v>
      </c>
      <c r="C21" s="6" t="n">
        <f aca="false">'Mi Sprint'!C21</f>
        <v>0</v>
      </c>
      <c r="D21" s="24" t="n">
        <f aca="false">'Mi Sprint'!D21</f>
        <v>0</v>
      </c>
      <c r="E21" s="8" t="str">
        <f aca="false">'Mi Sprint'!E21</f>
        <v/>
      </c>
      <c r="F21" s="10" t="str">
        <f aca="false">'Mi Sprint'!H21</f>
        <v/>
      </c>
    </row>
    <row r="22" customFormat="false" ht="15" hidden="false" customHeight="true" outlineLevel="0" collapsed="false">
      <c r="A22" s="4" t="n">
        <f aca="false">'Mi Sprint'!A22</f>
        <v>20</v>
      </c>
      <c r="B22" s="24" t="n">
        <f aca="false">'Mi Sprint'!B22</f>
        <v>0</v>
      </c>
      <c r="C22" s="6" t="n">
        <f aca="false">'Mi Sprint'!C22</f>
        <v>0</v>
      </c>
      <c r="D22" s="24" t="n">
        <f aca="false">'Mi Sprint'!D22</f>
        <v>0</v>
      </c>
      <c r="E22" s="8" t="str">
        <f aca="false">'Mi Sprint'!E22</f>
        <v/>
      </c>
      <c r="F22" s="10" t="str">
        <f aca="false">'Mi Sprint'!H22</f>
        <v/>
      </c>
    </row>
    <row r="24" customFormat="false" ht="17.25" hidden="false" customHeight="true" outlineLevel="0" collapsed="false">
      <c r="A24" s="2" t="s">
        <v>44</v>
      </c>
      <c r="B24" s="2"/>
      <c r="C24" s="2"/>
      <c r="D24" s="2"/>
    </row>
    <row r="26" customFormat="false" ht="15" hidden="false" customHeight="true" outlineLevel="0" collapsed="false">
      <c r="A26" s="11" t="s">
        <v>14</v>
      </c>
      <c r="C26" s="12" t="n">
        <f aca="false">COUNTA(B3:B22)</f>
        <v>20</v>
      </c>
    </row>
    <row r="27" customFormat="false" ht="15" hidden="false" customHeight="true" outlineLevel="0" collapsed="false">
      <c r="A27" s="11" t="s">
        <v>15</v>
      </c>
      <c r="C27" s="13" t="n">
        <f aca="false">SUM(E3:E22)</f>
        <v>5930</v>
      </c>
      <c r="D27" s="1" t="s">
        <v>16</v>
      </c>
    </row>
    <row r="28" customFormat="false" ht="15" hidden="false" customHeight="true" outlineLevel="0" collapsed="false">
      <c r="A28" s="11" t="s">
        <v>17</v>
      </c>
      <c r="C28" s="13" t="n">
        <v>10291</v>
      </c>
      <c r="D28" s="1" t="s">
        <v>16</v>
      </c>
    </row>
    <row r="29" customFormat="false" ht="15" hidden="false" customHeight="true" outlineLevel="0" collapsed="false">
      <c r="A29" s="11" t="s">
        <v>18</v>
      </c>
      <c r="C29" s="14" t="n">
        <f aca="false">C27/C28</f>
        <v>0.57623165873093</v>
      </c>
      <c r="D29" s="1" t="str">
        <f aca="false">IF(C29&gt;=0.9,"🟢",IF(C29&gt;=0.7,"🟡","🔴"))</f>
        <v>🔴</v>
      </c>
    </row>
    <row r="30" customFormat="false" ht="15" hidden="false" customHeight="true" outlineLevel="0" collapsed="false">
      <c r="A30" s="11" t="s">
        <v>19</v>
      </c>
      <c r="C30" s="13" t="n">
        <f aca="false">MAX(0,C28-C27)</f>
        <v>4361</v>
      </c>
      <c r="D30" s="1" t="s">
        <v>16</v>
      </c>
    </row>
    <row r="32" customFormat="false" ht="15" hidden="false" customHeight="true" outlineLevel="0" collapsed="false">
      <c r="A32" s="11" t="s">
        <v>20</v>
      </c>
      <c r="C32" s="13" t="n">
        <f aca="false">SUMIF(F3:F22,"✅",E3:E22)</f>
        <v>3930</v>
      </c>
      <c r="D32" s="1" t="str">
        <f aca="false">IF(C27=0,"0%",ROUND(C32/C27,0)&amp;"%")</f>
        <v>1%</v>
      </c>
    </row>
    <row r="33" customFormat="false" ht="15" hidden="false" customHeight="true" outlineLevel="0" collapsed="false">
      <c r="A33" s="11" t="s">
        <v>21</v>
      </c>
      <c r="C33" s="13" t="n">
        <f aca="false">C28*0.5</f>
        <v>5145.5</v>
      </c>
      <c r="D33" s="1" t="s">
        <v>16</v>
      </c>
    </row>
    <row r="36" customFormat="false" ht="17.25" hidden="false" customHeight="true" outlineLevel="0" collapsed="false">
      <c r="A36" s="2" t="s">
        <v>32</v>
      </c>
      <c r="B36" s="2"/>
      <c r="C36" s="2"/>
      <c r="D36" s="2"/>
    </row>
    <row r="38" customFormat="false" ht="15" hidden="false" customHeight="true" outlineLevel="0" collapsed="false">
      <c r="A38" s="11" t="s">
        <v>33</v>
      </c>
      <c r="C38" s="21" t="n">
        <v>1</v>
      </c>
      <c r="D38" s="1" t="s">
        <v>34</v>
      </c>
    </row>
    <row r="40" customFormat="false" ht="15" hidden="false" customHeight="true" outlineLevel="0" collapsed="false">
      <c r="A40" s="11" t="s">
        <v>35</v>
      </c>
      <c r="B40" s="22" t="s">
        <v>36</v>
      </c>
      <c r="C40" s="23" t="n">
        <v>0</v>
      </c>
      <c r="D40" s="1" t="s">
        <v>16</v>
      </c>
    </row>
    <row r="41" customFormat="false" ht="15" hidden="false" customHeight="true" outlineLevel="0" collapsed="false">
      <c r="A41" s="11" t="s">
        <v>37</v>
      </c>
      <c r="C41" s="13" t="n">
        <f aca="false">ROUND(C28/4,0)</f>
        <v>2573</v>
      </c>
      <c r="D41" s="1" t="s">
        <v>16</v>
      </c>
    </row>
    <row r="42" customFormat="false" ht="15" hidden="false" customHeight="true" outlineLevel="0" collapsed="false">
      <c r="A42" s="11" t="s">
        <v>38</v>
      </c>
      <c r="C42" s="14" t="n">
        <f aca="false">IF(C41=0,0,C40/C41)</f>
        <v>0</v>
      </c>
      <c r="D42" s="1" t="str">
        <f aca="false">IF(C42&gt;=0.9,"🟢",IF(C42&gt;=0.7,"🟡","🔴"))</f>
        <v>🔴</v>
      </c>
    </row>
    <row r="43" customFormat="false" ht="15" hidden="false" customHeight="true" outlineLevel="0" collapsed="false">
      <c r="A43" s="11" t="s">
        <v>39</v>
      </c>
      <c r="C43" s="13" t="n">
        <f aca="false">MAX(0,C41-C40)</f>
        <v>2573</v>
      </c>
      <c r="D43" s="1" t="s">
        <v>16</v>
      </c>
    </row>
    <row r="45" customFormat="false" ht="15" hidden="false" customHeight="true" outlineLevel="0" collapsed="false">
      <c r="A45" s="15" t="s">
        <v>40</v>
      </c>
      <c r="B45" s="15"/>
      <c r="C45" s="15"/>
      <c r="D45" s="15"/>
    </row>
    <row r="46" customFormat="false" ht="15" hidden="false" customHeight="true" outlineLevel="0" collapsed="false">
      <c r="A46" s="1" t="s">
        <v>41</v>
      </c>
      <c r="C46" s="13" t="n">
        <f aca="false">C40*4</f>
        <v>0</v>
      </c>
      <c r="D46" s="1" t="str">
        <f aca="false">IF(C46&gt;=C28,"✅","❌")</f>
        <v>❌</v>
      </c>
    </row>
    <row r="47" customFormat="false" ht="15" hidden="false" customHeight="true" outlineLevel="0" collapsed="false">
      <c r="A47" s="1" t="s">
        <v>42</v>
      </c>
      <c r="C47" s="13" t="n">
        <f aca="false">IF((4-C38)&lt;=0,0,MAX(0,(C28-C27)/(4-C38)))</f>
        <v>1453.66666666667</v>
      </c>
      <c r="D47" s="1" t="s">
        <v>43</v>
      </c>
    </row>
  </sheetData>
  <sheetProtection sheet="true" password="a2df"/>
  <mergeCells count="4">
    <mergeCell ref="A1:F1"/>
    <mergeCell ref="A24:D24"/>
    <mergeCell ref="A36:D36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2026-04-28T19:30:37Z</dcterms:created>
  <dc:creator>openpyxl</dc:creator>
  <dc:description/>
  <dc:language>en-US</dc:language>
  <cp:lastModifiedBy/>
  <dcterms:modified xsi:type="dcterms:W3CDTF">2026-04-28T19:34:56Z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