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LAN SEMANAL" sheetId="1" state="visible" r:id="rId3"/>
    <sheet name="📊 DASHBOARD ANTONIO" sheetId="2" state="visible" r:id="rId4"/>
    <sheet name="👥 PLANTILLA AGENTES" sheetId="3" state="visible" r:id="rId5"/>
    <sheet name="🏆 CONSOLIDADO EQUIPO" sheetId="4" state="visible" r:id="rId6"/>
  </sheets>
  <definedNames>
    <definedName function="false" hidden="true" localSheetId="0" name="_xlnm._FilterDatabase" vbProcedure="false">'📋 PLAN SEMANAL'!$A$19:$H$29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<sst xmlns="http://schemas.openxmlformats.org/spreadsheetml/2006/main" count="146" uniqueCount="117">
  <si>
    <t xml:space="preserve">📋  PLAN SEMANAL DE PRODUCCIÓN — NATIONALE-NEDERLANDEN XÀTIVA</t>
  </si>
  <si>
    <t xml:space="preserve">Punto Naranja Xàtiva · Agente Dinamizador · Enviar a Antonio Morote cada lunes antes de las 9h</t>
  </si>
  <si>
    <t xml:space="preserve">📅  DATOS DE LA SEMANA</t>
  </si>
  <si>
    <t xml:space="preserve">Semana del</t>
  </si>
  <si>
    <t xml:space="preserve">al</t>
  </si>
  <si>
    <t xml:space="preserve">Agente / Punto Naranja</t>
  </si>
  <si>
    <t xml:space="preserve">Nombre Agente Dinamizador — Xàtiva</t>
  </si>
  <si>
    <t xml:space="preserve">Objetivo acumulado N-N (pts)</t>
  </si>
  <si>
    <t xml:space="preserve">Acumulado a hoy:</t>
  </si>
  <si>
    <t xml:space="preserve">Pts que faltan</t>
  </si>
  <si>
    <t xml:space="preserve">Días laborables semana:</t>
  </si>
  <si>
    <t xml:space="preserve">📞  ACTIVIDAD DIARIA PLANIFICADA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</si>
  <si>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</si>
  <si>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</si>
  <si>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</si>
  <si>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</si>
  <si>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</si>
  <si>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TOTAL
SEMANA</t>
  </si>
  <si>
    <t xml:space="preserve">NOTAS</t>
  </si>
  <si>
    <t xml:space="preserve">📞 Llamadas previstas</t>
  </si>
  <si>
    <t xml:space="preserve">👥 Contactos esperados</t>
  </si>
  <si>
    <t xml:space="preserve">🤝 Reuniones previstas (10%)</t>
  </si>
  <si>
    <t xml:space="preserve">✍️ Cierres esperados</t>
  </si>
  <si>
    <t xml:space="preserve">🔥  OPERACIONES CALIENTES — Previstas para cerrar esta semana</t>
  </si>
  <si>
    <t xml:space="preserve">NOMBRE CLIENTE</t>
  </si>
  <si>
    <t xml:space="preserve">PRODUCTO NN</t>
  </si>
  <si>
    <t xml:space="preserve">FECHA PREVISTA</t>
  </si>
  <si>
    <t xml:space="preserve">PROB. CIERRE</t>
  </si>
  <si>
    <t xml:space="preserve">PTS ESTIMADOS</t>
  </si>
  <si>
    <t xml:space="preserve">ESTADO</t>
  </si>
  <si>
    <t xml:space="preserve">PUEBLO</t>
  </si>
  <si>
    <t xml:space="preserve">TOTALES PREVISTOS</t>
  </si>
  <si>
    <t xml:space="preserve">💊  PRODUCTOS A TRABAJAR ESTA SEMANA</t>
  </si>
  <si>
    <t xml:space="preserve">PRODUCTO</t>
  </si>
  <si>
    <t xml:space="preserve">CANDIDATOS
DISPONIBLES</t>
  </si>
  <si>
    <t xml:space="preserve">LLAMADAS
PLANIFICADAS</t>
  </si>
  <si>
    <t xml:space="preserve">REUNIONES
ESPERADAS</t>
  </si>
  <si>
    <t xml:space="preserve">CIERRES
ESPERADOS</t>
  </si>
  <si>
    <t xml:space="preserve">PRIORIDAD</t>
  </si>
  <si>
    <t xml:space="preserve">OBSERVACIONES</t>
  </si>
  <si>
    <t xml:space="preserve">💚 Plan Salud + Vida</t>
  </si>
  <si>
    <t xml:space="preserve">🔥 URGENTE</t>
  </si>
  <si>
    <t xml:space="preserve">🏠 MiHogar Seguro</t>
  </si>
  <si>
    <t xml:space="preserve">⭐ ALTA</t>
  </si>
  <si>
    <t xml:space="preserve">👴 Contigo Senior</t>
  </si>
  <si>
    <t xml:space="preserve">👨‍👩‍👧 Contigo Familia</t>
  </si>
  <si>
    <t xml:space="preserve">🟡 MEDIA</t>
  </si>
  <si>
    <t xml:space="preserve">💰 PPSA Autónomos</t>
  </si>
  <si>
    <t xml:space="preserve">📊  RESUMEN EJECUTIVO PARA ANTONIO MOROTE</t>
  </si>
  <si>
    <t xml:space="preserve">Total llamadas planificadas semana</t>
  </si>
  <si>
    <t xml:space="preserve">Total reuniones esperadas</t>
  </si>
  <si>
    <t xml:space="preserve">Total cierres proyectados</t>
  </si>
  <si>
    <t xml:space="preserve">Puntos N-N proyectados semana</t>
  </si>
  <si>
    <t xml:space="preserve">Puntos acumulados + proyección</t>
  </si>
  <si>
    <t xml:space="preserve">% sobre objetivo total</t>
  </si>
  <si>
    <t xml:space="preserve">📊  INFORME SEMANAL DE PRODUCCIÓN — PUNTO NARANJA XÀTIVA</t>
  </si>
  <si>
    <t xml:space="preserve">Agente Dinamizador (Punto Naranja) · Nationale-Nederlanden Xàtiva y Comarca La Costera</t>
  </si>
  <si>
    <t xml:space="preserve">🎯 OBJETIVO TOTAL</t>
  </si>
  <si>
    <t xml:space="preserve">✅ ACUMULADO</t>
  </si>
  <si>
    <t xml:space="preserve">📞 LLAMADAS SEMANA</t>
  </si>
  <si>
    <t xml:space="preserve">✍️ CIERRES ESPERADOS</t>
  </si>
  <si>
    <t xml:space="preserve">Puntos N-N 2026</t>
  </si>
  <si>
    <t xml:space="preserve">39,4% conseguido</t>
  </si>
  <si>
    <t xml:space="preserve">Plan esta semana</t>
  </si>
  <si>
    <t xml:space="preserve">Proyección semana</t>
  </si>
  <si>
    <t xml:space="preserve">🤝 REUNIONES SEMANA</t>
  </si>
  <si>
    <t xml:space="preserve">💶 PTS PROYECTADOS</t>
  </si>
  <si>
    <t xml:space="preserve">📈 ACUM+PROYECCIÓN</t>
  </si>
  <si>
    <t xml:space="preserve">% OBJETIVO</t>
  </si>
  <si>
    <t xml:space="preserve">Tasa 10% llamadas</t>
  </si>
  <si>
    <t xml:space="preserve">Esta semana</t>
  </si>
  <si>
    <t xml:space="preserve">Si se cumple plan</t>
  </si>
  <si>
    <t xml:space="preserve">Si se cumple</t>
  </si>
  <si>
    <t xml:space="preserve">🔥  OPERACIONES CALIENTES ESTA SEMANA</t>
  </si>
  <si>
    <t xml:space="preserve">CLIENTE</t>
  </si>
  <si>
    <t xml:space="preserve">FECHA FIRMA</t>
  </si>
  <si>
    <t xml:space="preserve">TOTAL PUNTOS OPERACIONES CALIENTES</t>
  </si>
  <si>
    <t xml:space="preserve">💊  PRODUCTOS TRABAJADOS ESTA SEMANA</t>
  </si>
  <si>
    <t xml:space="preserve">CANDIDATOS</t>
  </si>
  <si>
    <t xml:space="preserve">LLAMADAS</t>
  </si>
  <si>
    <t xml:space="preserve">REUNIONES</t>
  </si>
  <si>
    <t xml:space="preserve">CIERRES ESP.</t>
  </si>
  <si>
    <t xml:space="preserve">PTS EST.</t>
  </si>
  <si>
    <t xml:space="preserve">OBS.</t>
  </si>
  <si>
    <t xml:space="preserve">👥  PLANTILLA SEMANAL PARA AGENTES — Nationale-Nederlanden</t>
  </si>
  <si>
    <t xml:space="preserve">Cada agente rellena esta hoja y la envía al Punto Naranja antes del LUNES 8:30h</t>
  </si>
  <si>
    <t xml:space="preserve">👤  DATOS DEL AGENTE</t>
  </si>
  <si>
    <t xml:space="preserve">Nombre completo</t>
  </si>
  <si>
    <t xml:space="preserve">Zona / Pueblo</t>
  </si>
  <si>
    <t xml:space="preserve">Supervisor</t>
  </si>
  <si>
    <t xml:space="preserve">Antonio Morote</t>
  </si>
  <si>
    <t xml:space="preserve">📞  ACTIVIDAD SEMANAL REALIZADA</t>
  </si>
  <si>
    <t xml:space="preserve">TOTAL</t>
  </si>
  <si>
    <t xml:space="preserve">Llamadas realizadas</t>
  </si>
  <si>
    <t xml:space="preserve">Contactos conseguidos</t>
  </si>
  <si>
    <t xml:space="preserve">Reuniones realizadas</t>
  </si>
  <si>
    <t xml:space="preserve">Pólizas firmadas</t>
  </si>
  <si>
    <t xml:space="preserve">Puntos N-N generados</t>
  </si>
  <si>
    <t xml:space="preserve">🔥  OPERACIONES PREVISTAS PRÓXIMA SEMANA</t>
  </si>
  <si>
    <t xml:space="preserve">TOTAL PTS ESTIMADOS</t>
  </si>
  <si>
    <t xml:space="preserve">🏆  CONSOLIDADO EQUIPO — PUNTO NARANJA XÀTIVA · SEMANA</t>
  </si>
  <si>
    <t xml:space="preserve">Documento final para Antonio Morote · Incluye Punto Naranja + todos los agentes del equipo</t>
  </si>
  <si>
    <t xml:space="preserve">📊  RESUMEN POR AGENTE — LLAMADAS, REUNIONES Y PUNTOS PREVISTOS</t>
  </si>
  <si>
    <t xml:space="preserve">AGENTE / PUNTO NARANJA</t>
  </si>
  <si>
    <t xml:space="preserve">ZONA</t>
  </si>
  <si>
    <t xml:space="preserve">LLAMADAS
SEMANA</t>
  </si>
  <si>
    <t xml:space="preserve">REUNIONES
ESP.</t>
  </si>
  <si>
    <t xml:space="preserve">CIERRES
ESP.</t>
  </si>
  <si>
    <t xml:space="preserve">% OBJ
MENSUAL</t>
  </si>
  <si>
    <t xml:space="preserve">🎯 Punto Naranja (Xàtiva)</t>
  </si>
  <si>
    <t xml:space="preserve">Xàtiva / La Costera</t>
  </si>
  <si>
    <t xml:space="preserve">🟢 EN PLAN</t>
  </si>
  <si>
    <t xml:space="preserve">Agente 1</t>
  </si>
  <si>
    <t xml:space="preserve">Agente 2</t>
  </si>
  <si>
    <t xml:space="preserve">Agente 3</t>
  </si>
  <si>
    <t xml:space="preserve">Agente 4</t>
  </si>
  <si>
    <t xml:space="preserve">TOTAL EQUIPO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</si>
</sst>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General"/>
    <numFmt numFmtId="167" formatCode="#,##0"/>
    <numFmt numFmtId="168" formatCode="0.0%"/>
    <numFmt numFmtId="169" formatCode="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0"/>
      <color rgb="FFF4D03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FF6B3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sz val="8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E86C1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3"/>
      <color rgb="FF2E86C1"/>
      <name val="Arial"/>
      <family val="0"/>
      <charset val="1"/>
    </font>
    <font>
      <b val="true"/>
      <sz val="13"/>
      <color rgb="FF7D3C98"/>
      <name val="Arial"/>
      <family val="0"/>
      <charset val="1"/>
    </font>
    <font>
      <b val="true"/>
      <sz val="13"/>
      <color rgb="FF1E8449"/>
      <name val="Arial"/>
      <family val="0"/>
      <charset val="1"/>
    </font>
    <font>
      <b val="true"/>
      <sz val="13"/>
      <color rgb="FFFF6B35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8"/>
      <color rgb="FFBBBBBB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1E8449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2"/>
      <color rgb="FFFF6B35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0D1B2A"/>
        <bgColor rgb="FF0A1520"/>
      </patternFill>
    </fill>
    <fill>
      <patternFill patternType="solid">
        <fgColor rgb="FF0A1520"/>
        <bgColor rgb="FF0D1B2A"/>
      </patternFill>
    </fill>
    <fill>
      <patternFill patternType="solid">
        <fgColor rgb="FFF4F6F7"/>
        <bgColor rgb="FFEBF5FB"/>
      </patternFill>
    </fill>
    <fill>
      <patternFill patternType="solid">
        <fgColor rgb="FFFFFDE7"/>
        <bgColor rgb="FFFEF9E7"/>
      </patternFill>
    </fill>
    <fill>
      <patternFill patternType="solid">
        <fgColor rgb="FFFFFFFF"/>
        <bgColor rgb="FFFFFDE7"/>
      </patternFill>
    </fill>
    <fill>
      <patternFill patternType="solid">
        <fgColor rgb="FF2E86C1"/>
        <bgColor rgb="FF008080"/>
      </patternFill>
    </fill>
    <fill>
      <patternFill patternType="solid">
        <fgColor rgb="FF1A5276"/>
        <bgColor rgb="FF145A32"/>
      </patternFill>
    </fill>
    <fill>
      <patternFill patternType="solid">
        <fgColor rgb="FFE8F4FD"/>
        <bgColor rgb="FFEBF5FB"/>
      </patternFill>
    </fill>
    <fill>
      <patternFill patternType="solid">
        <fgColor rgb="FFD6EAF8"/>
        <bgColor rgb="FFD1F2EB"/>
      </patternFill>
    </fill>
    <fill>
      <patternFill patternType="solid">
        <fgColor rgb="FFEBF5FB"/>
        <bgColor rgb="FFE8F4FD"/>
      </patternFill>
    </fill>
    <fill>
      <patternFill patternType="solid">
        <fgColor rgb="FFD1F2EB"/>
        <bgColor rgb="FFD5F5E3"/>
      </patternFill>
    </fill>
    <fill>
      <patternFill patternType="solid">
        <fgColor rgb="FFFF6B35"/>
        <bgColor rgb="FFFF9900"/>
      </patternFill>
    </fill>
    <fill>
      <patternFill patternType="solid">
        <fgColor rgb="FFCC4400"/>
        <bgColor rgb="FFC0392B"/>
      </patternFill>
    </fill>
    <fill>
      <patternFill patternType="solid">
        <fgColor rgb="FFE8F5E9"/>
        <bgColor rgb="FFE8F8F0"/>
      </patternFill>
    </fill>
    <fill>
      <patternFill patternType="solid">
        <fgColor rgb="FF1E8449"/>
        <bgColor rgb="FF008080"/>
      </patternFill>
    </fill>
    <fill>
      <patternFill patternType="solid">
        <fgColor rgb="FF145A32"/>
        <bgColor rgb="FF1A5276"/>
      </patternFill>
    </fill>
    <fill>
      <patternFill patternType="solid">
        <fgColor rgb="FFE8F8F0"/>
        <bgColor rgb="FFE8F5E9"/>
      </patternFill>
    </fill>
    <fill>
      <patternFill patternType="solid">
        <fgColor rgb="FFFEF9E7"/>
        <bgColor rgb="FFFFFDE7"/>
      </patternFill>
    </fill>
    <fill>
      <patternFill patternType="solid">
        <fgColor rgb="FFF5EEF8"/>
        <bgColor rgb="FFF4F6F7"/>
      </patternFill>
    </fill>
    <fill>
      <patternFill patternType="solid">
        <fgColor rgb="FFFDF2E9"/>
        <bgColor rgb="FFFEF9E7"/>
      </patternFill>
    </fill>
    <fill>
      <patternFill patternType="solid">
        <fgColor rgb="FF1A1A2E"/>
        <bgColor rgb="FF0D1B2A"/>
      </patternFill>
    </fill>
    <fill>
      <patternFill patternType="solid">
        <fgColor rgb="FF7D3C98"/>
        <bgColor rgb="FF666699"/>
      </patternFill>
    </fill>
    <fill>
      <patternFill patternType="solid">
        <fgColor rgb="FFC0392B"/>
        <bgColor rgb="FFCC4400"/>
      </patternFill>
    </fill>
    <fill>
      <patternFill patternType="solid">
        <fgColor rgb="FF1A0A2E"/>
        <bgColor rgb="FF0A0A1A"/>
      </patternFill>
    </fill>
    <fill>
      <patternFill patternType="solid">
        <fgColor rgb="FF0A0A1A"/>
        <bgColor rgb="FF0A1520"/>
      </patternFill>
    </fill>
    <fill>
      <patternFill patternType="solid">
        <fgColor rgb="FFFFF3CD"/>
        <bgColor rgb="FFFDF2E9"/>
      </patternFill>
    </fill>
    <fill>
      <patternFill patternType="solid">
        <fgColor rgb="FFFFE5B0"/>
        <bgColor rgb="FFFFF3CD"/>
      </patternFill>
    </fill>
    <fill>
      <patternFill patternType="solid">
        <fgColor rgb="FFD5F5E3"/>
        <bgColor rgb="FFD1F2E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16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7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1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2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2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CC4400"/>
          <bgColor rgb="FF000000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1E844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145A32"/>
      <rgbColor rgb="FF1A0A2E"/>
      <rgbColor rgb="FF808000"/>
      <rgbColor rgb="FF800080"/>
      <rgbColor rgb="FF008080"/>
      <rgbColor rgb="FFBBBBBB"/>
      <rgbColor rgb="FF888888"/>
      <rgbColor rgb="FFE8F5E9"/>
      <rgbColor rgb="FF7D3C98"/>
      <rgbColor rgb="FFFFFDE7"/>
      <rgbColor rgb="FFD1F2EB"/>
      <rgbColor rgb="FF660066"/>
      <rgbColor rgb="FFF4F6F7"/>
      <rgbColor rgb="FF0066CC"/>
      <rgbColor rgb="FFCCCCCC"/>
      <rgbColor rgb="FF0A0A1A"/>
      <rgbColor rgb="FFFF00FF"/>
      <rgbColor rgb="FFFDF2E9"/>
      <rgbColor rgb="FF00FFFF"/>
      <rgbColor rgb="FF800080"/>
      <rgbColor rgb="FF800000"/>
      <rgbColor rgb="FF008080"/>
      <rgbColor rgb="FF0000FF"/>
      <rgbColor rgb="FF00CCFF"/>
      <rgbColor rgb="FFE8F8F0"/>
      <rgbColor rgb="FFD5F5E3"/>
      <rgbColor rgb="FFFFF3CD"/>
      <rgbColor rgb="FFD6EAF8"/>
      <rgbColor rgb="FFF5EEF8"/>
      <rgbColor rgb="FFE8F4FD"/>
      <rgbColor rgb="FFFFE5B0"/>
      <rgbColor rgb="FF2E86C1"/>
      <rgbColor rgb="FF33CCCC"/>
      <rgbColor rgb="FFEBF5FB"/>
      <rgbColor rgb="FFF4D03F"/>
      <rgbColor rgb="FFFF9900"/>
      <rgbColor rgb="FFFF6B35"/>
      <rgbColor rgb="FF666699"/>
      <rgbColor rgb="FFAAAAAA"/>
      <rgbColor rgb="FF1A5276"/>
      <rgbColor rgb="FF1E8449"/>
      <rgbColor rgb="FF0D1B2A"/>
      <rgbColor rgb="FF0A1520"/>
      <rgbColor rgb="FFC0392B"/>
      <rgbColor rgb="FFCC4400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4"/>
    <col collapsed="false" customWidth="true" hidden="false" outlineLevel="0" max="8" min="8" style="1" width="20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27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5" t="s">
        <v>3</v>
      </c>
      <c r="B5" s="6" t="str">
        <f aca="true">TEXT(TODAY(),"DD/MM/YYYY")</f>
        <v>21/03/2026</v>
      </c>
      <c r="C5" s="6"/>
      <c r="D5" s="6"/>
      <c r="E5" s="5" t="s">
        <v>4</v>
      </c>
      <c r="F5" s="7"/>
      <c r="G5" s="7"/>
      <c r="H5" s="7"/>
    </row>
    <row r="6" customFormat="false" ht="21.75" hidden="false" customHeight="true" outlineLevel="0" collapsed="false">
      <c r="A6" s="8" t="s">
        <v>5</v>
      </c>
      <c r="B6" s="9" t="s">
        <v>6</v>
      </c>
      <c r="C6" s="9"/>
      <c r="D6" s="9"/>
    </row>
    <row r="7" customFormat="false" ht="21.75" hidden="false" customHeight="true" outlineLevel="0" collapsed="false">
      <c r="A7" s="5" t="s">
        <v>7</v>
      </c>
      <c r="B7" s="10" t="n">
        <v>10291</v>
      </c>
      <c r="C7" s="10"/>
      <c r="D7" s="10"/>
      <c r="E7" s="5" t="s">
        <v>8</v>
      </c>
      <c r="F7" s="11" t="n">
        <v>4051.92</v>
      </c>
      <c r="G7" s="11"/>
      <c r="H7" s="11"/>
    </row>
    <row r="8" customFormat="false" ht="21.75" hidden="false" customHeight="true" outlineLevel="0" collapsed="false">
      <c r="A8" s="8" t="s">
        <v>9</v>
      </c>
      <c r="B8" s="10" t="str">
        <f aca="true">TEXT(TODAY(),"DD/MM/YYYY")</f>
        <v>21/03/2026</v>
      </c>
      <c r="C8" s="10"/>
      <c r="D8" s="10"/>
      <c r="E8" s="8" t="s">
        <v>10</v>
      </c>
      <c r="F8" s="7" t="n">
        <v>5</v>
      </c>
      <c r="G8" s="7"/>
      <c r="H8" s="7"/>
    </row>
    <row r="9" customFormat="false" ht="7.5" hidden="false" customHeight="true" outlineLevel="0" collapsed="false"/>
    <row r="10" customFormat="false" ht="27.75" hidden="false" customHeight="true" outlineLevel="0" collapsed="false">
      <c r="A10" s="12" t="s">
        <v>11</v>
      </c>
      <c r="B10" s="12"/>
      <c r="C10" s="12"/>
      <c r="D10" s="12"/>
      <c r="E10" s="12"/>
      <c r="F10" s="12"/>
      <c r="G10" s="12"/>
      <c r="H10" s="12"/>
    </row>
    <row r="11" customFormat="false" ht="31.5" hidden="false" customHeight="true" outlineLevel="0" collapsed="false">
      <c r="A11" s="13"/>
      <c r="B11" s="13" t="s">
        <v>12</v>
      </c>
      <c r="C11" s="13" t="s">
        <v>13</v>
      </c>
      <c r="D11" s="13" t="s">
        <v>14</v>
      </c>
      <c r="E11" s="13" t="s">
        <v>15</v>
      </c>
      <c r="F11" s="13" t="s">
        <v>16</v>
      </c>
      <c r="G11" s="13" t="s">
        <v>17</v>
      </c>
      <c r="H11" s="13" t="s">
        <v>18</v>
      </c>
    </row>
    <row r="12" customFormat="false" ht="21.75" hidden="false" customHeight="true" outlineLevel="0" collapsed="false">
      <c r="A12" s="14" t="s">
        <v>19</v>
      </c>
      <c r="B12" s="7" t="n">
        <v>17</v>
      </c>
      <c r="C12" s="7" t="n">
        <v>17</v>
      </c>
      <c r="D12" s="7" t="n">
        <v>17</v>
      </c>
      <c r="E12" s="7" t="n">
        <v>17</v>
      </c>
      <c r="F12" s="7" t="n">
        <v>17</v>
      </c>
      <c r="G12" s="15" t="n">
        <f aca="false">SUM(B13:F13)</f>
        <v>85</v>
      </c>
      <c r="H12" s="16"/>
    </row>
    <row r="13" customFormat="false" ht="21.75" hidden="false" customHeight="true" outlineLevel="0" collapsed="false">
      <c r="A13" s="17" t="s">
        <v>20</v>
      </c>
      <c r="B13" s="7" t="n">
        <v>17</v>
      </c>
      <c r="C13" s="7" t="n">
        <v>17</v>
      </c>
      <c r="D13" s="7" t="n">
        <v>17</v>
      </c>
      <c r="E13" s="7" t="n">
        <v>17</v>
      </c>
      <c r="F13" s="7" t="n">
        <v>17</v>
      </c>
      <c r="G13" s="15" t="n">
        <f aca="false">SUM(B14:F14)</f>
        <v>85</v>
      </c>
      <c r="H13" s="18"/>
    </row>
    <row r="14" customFormat="false" ht="21.75" hidden="false" customHeight="true" outlineLevel="0" collapsed="false">
      <c r="A14" s="19" t="s">
        <v>21</v>
      </c>
      <c r="B14" s="20" t="n">
        <v>17</v>
      </c>
      <c r="C14" s="20" t="n">
        <v>17</v>
      </c>
      <c r="D14" s="20" t="n">
        <v>17</v>
      </c>
      <c r="E14" s="20" t="n">
        <v>17</v>
      </c>
      <c r="F14" s="20" t="n">
        <v>17</v>
      </c>
      <c r="G14" s="15" t="n">
        <f aca="false">SUM(B14:F14)</f>
        <v>85</v>
      </c>
      <c r="H14" s="21"/>
    </row>
    <row r="15" customFormat="false" ht="21.75" hidden="false" customHeight="true" outlineLevel="0" collapsed="false">
      <c r="A15" s="22" t="s">
        <v>22</v>
      </c>
      <c r="B15" s="23" t="n">
        <f aca="false">ROUND(B13*0.1,0)</f>
        <v>2</v>
      </c>
      <c r="C15" s="23" t="n">
        <f aca="false">ROUND(C13*0.1,0)</f>
        <v>2</v>
      </c>
      <c r="D15" s="23" t="n">
        <f aca="false">ROUND(D13*0.1,0)</f>
        <v>2</v>
      </c>
      <c r="E15" s="23" t="n">
        <f aca="false">ROUND(E13*0.1,0)</f>
        <v>2</v>
      </c>
      <c r="F15" s="23" t="n">
        <f aca="false">ROUND(F13*0.1,0)</f>
        <v>2</v>
      </c>
      <c r="G15" s="15" t="n">
        <f aca="false">SUM(B16:F16)</f>
        <v>0</v>
      </c>
      <c r="H15" s="24"/>
    </row>
    <row r="17" customFormat="false" ht="7.5" hidden="false" customHeight="true" outlineLevel="0" collapsed="false"/>
    <row r="18" customFormat="false" ht="27.75" hidden="false" customHeight="true" outlineLevel="0" collapsed="false">
      <c r="A18" s="25" t="s">
        <v>23</v>
      </c>
      <c r="B18" s="25"/>
      <c r="C18" s="25"/>
      <c r="D18" s="25"/>
      <c r="E18" s="25"/>
      <c r="F18" s="25"/>
      <c r="G18" s="25"/>
      <c r="H18" s="25"/>
    </row>
    <row r="19" customFormat="false" ht="21.75" hidden="false" customHeight="true" outlineLevel="0" collapsed="false">
      <c r="A19" s="26" t="s">
        <v>24</v>
      </c>
      <c r="B19" s="26" t="s">
        <v>25</v>
      </c>
      <c r="C19" s="26" t="s">
        <v>26</v>
      </c>
      <c r="D19" s="26" t="s">
        <v>27</v>
      </c>
      <c r="E19" s="26" t="s">
        <v>28</v>
      </c>
      <c r="F19" s="26" t="s">
        <v>29</v>
      </c>
      <c r="G19" s="26" t="s">
        <v>30</v>
      </c>
      <c r="H19" s="26" t="s">
        <v>18</v>
      </c>
    </row>
    <row r="20" customFormat="false" ht="21.75" hidden="false" customHeight="true" outlineLevel="0" collapsed="false">
      <c r="A20" s="5"/>
      <c r="B20" s="27"/>
      <c r="C20" s="28"/>
      <c r="D20" s="28"/>
      <c r="E20" s="29"/>
      <c r="F20" s="30"/>
      <c r="G20" s="27"/>
      <c r="H20" s="31"/>
    </row>
    <row r="21" customFormat="false" ht="21.75" hidden="false" customHeight="true" outlineLevel="0" collapsed="false">
      <c r="A21" s="8"/>
      <c r="B21" s="32"/>
      <c r="C21" s="28"/>
      <c r="D21" s="28"/>
      <c r="E21" s="29"/>
      <c r="F21" s="33"/>
      <c r="G21" s="32"/>
      <c r="H21" s="34"/>
    </row>
    <row r="22" customFormat="false" ht="21.75" hidden="false" customHeight="true" outlineLevel="0" collapsed="false">
      <c r="A22" s="5"/>
      <c r="B22" s="27"/>
      <c r="C22" s="28"/>
      <c r="D22" s="28"/>
      <c r="E22" s="29"/>
      <c r="F22" s="30"/>
      <c r="G22" s="27"/>
      <c r="H22" s="31"/>
    </row>
    <row r="23" customFormat="false" ht="21.75" hidden="false" customHeight="true" outlineLevel="0" collapsed="false">
      <c r="A23" s="8"/>
      <c r="B23" s="32"/>
      <c r="C23" s="28"/>
      <c r="D23" s="28"/>
      <c r="E23" s="29"/>
      <c r="F23" s="33"/>
      <c r="G23" s="32"/>
      <c r="H23" s="34"/>
    </row>
    <row r="24" customFormat="false" ht="21.75" hidden="false" customHeight="true" outlineLevel="0" collapsed="false">
      <c r="A24" s="5"/>
      <c r="B24" s="27"/>
      <c r="C24" s="28"/>
      <c r="D24" s="28"/>
      <c r="E24" s="29"/>
      <c r="F24" s="30"/>
      <c r="G24" s="27"/>
      <c r="H24" s="31"/>
    </row>
    <row r="25" customFormat="false" ht="21.75" hidden="false" customHeight="true" outlineLevel="0" collapsed="false">
      <c r="A25" s="8"/>
      <c r="B25" s="32"/>
      <c r="C25" s="28"/>
      <c r="D25" s="28"/>
      <c r="E25" s="29"/>
      <c r="F25" s="33"/>
      <c r="G25" s="32"/>
      <c r="H25" s="34"/>
    </row>
    <row r="26" customFormat="false" ht="21.75" hidden="false" customHeight="true" outlineLevel="0" collapsed="false">
      <c r="A26" s="5"/>
      <c r="B26" s="27"/>
      <c r="C26" s="28"/>
      <c r="D26" s="28"/>
      <c r="E26" s="29"/>
      <c r="F26" s="30"/>
      <c r="G26" s="27"/>
      <c r="H26" s="31"/>
    </row>
    <row r="27" customFormat="false" ht="21.75" hidden="false" customHeight="true" outlineLevel="0" collapsed="false">
      <c r="A27" s="8"/>
      <c r="B27" s="32"/>
      <c r="C27" s="28"/>
      <c r="D27" s="28"/>
      <c r="E27" s="29"/>
      <c r="F27" s="33"/>
      <c r="G27" s="32"/>
      <c r="H27" s="34"/>
    </row>
    <row r="28" customFormat="false" ht="21.75" hidden="false" customHeight="true" outlineLevel="0" collapsed="false">
      <c r="A28" s="5"/>
      <c r="B28" s="27"/>
      <c r="C28" s="28"/>
      <c r="D28" s="28"/>
      <c r="E28" s="29"/>
      <c r="F28" s="30"/>
      <c r="G28" s="27"/>
      <c r="H28" s="31"/>
    </row>
    <row r="29" customFormat="false" ht="21.75" hidden="false" customHeight="true" outlineLevel="0" collapsed="false">
      <c r="A29" s="8"/>
      <c r="B29" s="32"/>
      <c r="C29" s="28"/>
      <c r="D29" s="28"/>
      <c r="E29" s="29"/>
      <c r="F29" s="33"/>
      <c r="G29" s="32"/>
      <c r="H29" s="34"/>
    </row>
    <row r="30" customFormat="false" ht="24" hidden="false" customHeight="true" outlineLevel="0" collapsed="false">
      <c r="A30" s="35" t="s">
        <v>31</v>
      </c>
      <c r="B30" s="36"/>
      <c r="C30" s="36"/>
      <c r="D30" s="36"/>
      <c r="E30" s="37" t="n">
        <f aca="false">SUM(E20:E29)</f>
        <v>0</v>
      </c>
      <c r="F30" s="38"/>
      <c r="G30" s="38"/>
      <c r="H30" s="38"/>
    </row>
    <row r="31" customFormat="false" ht="7.5" hidden="false" customHeight="true" outlineLevel="0" collapsed="false"/>
    <row r="32" customFormat="false" ht="27.75" hidden="false" customHeight="true" outlineLevel="0" collapsed="false">
      <c r="A32" s="39" t="s">
        <v>32</v>
      </c>
      <c r="B32" s="39"/>
      <c r="C32" s="39"/>
      <c r="D32" s="39"/>
      <c r="E32" s="39"/>
      <c r="F32" s="39"/>
      <c r="G32" s="39"/>
      <c r="H32" s="39"/>
    </row>
    <row r="33" customFormat="false" ht="31.5" hidden="false" customHeight="true" outlineLevel="0" collapsed="false">
      <c r="A33" s="40" t="s">
        <v>33</v>
      </c>
      <c r="B33" s="40" t="s">
        <v>34</v>
      </c>
      <c r="C33" s="40" t="s">
        <v>35</v>
      </c>
      <c r="D33" s="40" t="s">
        <v>36</v>
      </c>
      <c r="E33" s="40" t="s">
        <v>37</v>
      </c>
      <c r="F33" s="40" t="s">
        <v>28</v>
      </c>
      <c r="G33" s="40" t="s">
        <v>38</v>
      </c>
      <c r="H33" s="40" t="s">
        <v>39</v>
      </c>
    </row>
    <row r="34" customFormat="false" ht="21.75" hidden="false" customHeight="true" outlineLevel="0" collapsed="false">
      <c r="A34" s="41" t="s">
        <v>40</v>
      </c>
      <c r="B34" s="42" t="n">
        <v>503</v>
      </c>
      <c r="C34" s="7" t="n">
        <v>40</v>
      </c>
      <c r="D34" s="43" t="n">
        <f aca="false">ROUND(C35*0.1,0)</f>
        <v>2</v>
      </c>
      <c r="E34" s="43" t="n">
        <f aca="false">ROUND(D35*0.4,0)</f>
        <v>1</v>
      </c>
      <c r="F34" s="29"/>
      <c r="G34" s="44" t="s">
        <v>41</v>
      </c>
      <c r="H34" s="45"/>
    </row>
    <row r="35" customFormat="false" ht="21.75" hidden="false" customHeight="true" outlineLevel="0" collapsed="false">
      <c r="A35" s="19" t="s">
        <v>42</v>
      </c>
      <c r="B35" s="46" t="n">
        <v>52</v>
      </c>
      <c r="C35" s="7" t="n">
        <v>15</v>
      </c>
      <c r="D35" s="20" t="n">
        <f aca="false">ROUND(C36*0.1,0)</f>
        <v>2</v>
      </c>
      <c r="E35" s="20" t="n">
        <f aca="false">ROUND(D36*0.4,0)</f>
        <v>0</v>
      </c>
      <c r="F35" s="29"/>
      <c r="G35" s="47" t="s">
        <v>43</v>
      </c>
      <c r="H35" s="48"/>
    </row>
    <row r="36" customFormat="false" ht="21.75" hidden="false" customHeight="true" outlineLevel="0" collapsed="false">
      <c r="A36" s="49" t="s">
        <v>44</v>
      </c>
      <c r="B36" s="50" t="n">
        <v>171</v>
      </c>
      <c r="C36" s="7" t="n">
        <v>20</v>
      </c>
      <c r="D36" s="51" t="n">
        <f aca="false">ROUND(C37*0.1,0)</f>
        <v>1</v>
      </c>
      <c r="E36" s="51" t="n">
        <f aca="false">ROUND(D37*0.4,0)</f>
        <v>0</v>
      </c>
      <c r="F36" s="29"/>
      <c r="G36" s="52" t="s">
        <v>43</v>
      </c>
      <c r="H36" s="53"/>
    </row>
    <row r="37" customFormat="false" ht="21.75" hidden="false" customHeight="true" outlineLevel="0" collapsed="false">
      <c r="A37" s="54" t="s">
        <v>45</v>
      </c>
      <c r="B37" s="55" t="n">
        <v>3</v>
      </c>
      <c r="C37" s="7" t="n">
        <v>5</v>
      </c>
      <c r="D37" s="56" t="n">
        <f aca="false">ROUND(C38*0.1,0)</f>
        <v>1</v>
      </c>
      <c r="E37" s="56" t="n">
        <f aca="false">ROUND(D38*0.4,0)</f>
        <v>0</v>
      </c>
      <c r="F37" s="29"/>
      <c r="G37" s="57" t="s">
        <v>46</v>
      </c>
      <c r="H37" s="58"/>
    </row>
    <row r="38" customFormat="false" ht="21.75" hidden="false" customHeight="true" outlineLevel="0" collapsed="false">
      <c r="A38" s="59" t="s">
        <v>47</v>
      </c>
      <c r="B38" s="60" t="n">
        <v>0</v>
      </c>
      <c r="C38" s="7" t="n">
        <v>5</v>
      </c>
      <c r="D38" s="61" t="n">
        <f aca="false">ROUND(C39*0.1,0)</f>
        <v>0</v>
      </c>
      <c r="E38" s="61" t="n">
        <f aca="false">ROUND(D39*0.4,0)</f>
        <v>0</v>
      </c>
      <c r="F38" s="29"/>
      <c r="G38" s="62" t="s">
        <v>46</v>
      </c>
      <c r="H38" s="63"/>
    </row>
    <row r="39" customFormat="false" ht="7.5" hidden="false" customHeight="true" outlineLevel="0" collapsed="false"/>
    <row r="40" customFormat="false" ht="27.75" hidden="false" customHeight="true" outlineLevel="0" collapsed="false">
      <c r="A40" s="64" t="s">
        <v>48</v>
      </c>
      <c r="B40" s="64"/>
      <c r="C40" s="64"/>
      <c r="D40" s="64"/>
      <c r="E40" s="64"/>
      <c r="F40" s="64"/>
      <c r="G40" s="64"/>
      <c r="H40" s="64"/>
    </row>
    <row r="41" customFormat="false" ht="24" hidden="false" customHeight="true" outlineLevel="0" collapsed="false">
      <c r="A41" s="65" t="s">
        <v>49</v>
      </c>
      <c r="B41" s="65"/>
      <c r="C41" s="65"/>
      <c r="D41" s="65"/>
      <c r="E41" s="66" t="n">
        <f aca="false">G13</f>
        <v>85</v>
      </c>
      <c r="F41" s="66"/>
      <c r="G41" s="66"/>
      <c r="H41" s="66"/>
    </row>
    <row r="42" customFormat="false" ht="24" hidden="false" customHeight="true" outlineLevel="0" collapsed="false">
      <c r="A42" s="67" t="s">
        <v>50</v>
      </c>
      <c r="B42" s="67"/>
      <c r="C42" s="67"/>
      <c r="D42" s="67"/>
      <c r="E42" s="68" t="n">
        <f aca="false">G15</f>
        <v>0</v>
      </c>
      <c r="F42" s="68"/>
      <c r="G42" s="68"/>
      <c r="H42" s="68"/>
    </row>
    <row r="43" customFormat="false" ht="24" hidden="false" customHeight="true" outlineLevel="0" collapsed="false">
      <c r="A43" s="65" t="s">
        <v>51</v>
      </c>
      <c r="B43" s="65"/>
      <c r="C43" s="65"/>
      <c r="D43" s="65"/>
      <c r="E43" s="69" t="n">
        <f aca="false">G16</f>
        <v>0</v>
      </c>
      <c r="F43" s="69"/>
      <c r="G43" s="69"/>
      <c r="H43" s="69"/>
    </row>
    <row r="44" customFormat="false" ht="24" hidden="false" customHeight="true" outlineLevel="0" collapsed="false">
      <c r="A44" s="67" t="s">
        <v>52</v>
      </c>
      <c r="B44" s="67"/>
      <c r="C44" s="67"/>
      <c r="D44" s="67"/>
      <c r="E44" s="70" t="n">
        <f aca="false">E30</f>
        <v>0</v>
      </c>
      <c r="F44" s="70"/>
      <c r="G44" s="70"/>
      <c r="H44" s="70"/>
    </row>
    <row r="45" customFormat="false" ht="24" hidden="false" customHeight="true" outlineLevel="0" collapsed="false">
      <c r="A45" s="65" t="s">
        <v>53</v>
      </c>
      <c r="B45" s="65"/>
      <c r="C45" s="65"/>
      <c r="D45" s="65"/>
      <c r="E45" s="71" t="str">
        <f aca="false">IFERROR(E7+E30,E7)</f>
        <v>Acumulado a hoy:</v>
      </c>
      <c r="F45" s="71"/>
      <c r="G45" s="71"/>
      <c r="H45" s="71"/>
    </row>
    <row r="46" customFormat="false" ht="24" hidden="false" customHeight="true" outlineLevel="0" collapsed="false">
      <c r="A46" s="67" t="s">
        <v>54</v>
      </c>
      <c r="B46" s="67"/>
      <c r="C46" s="67"/>
      <c r="D46" s="67"/>
      <c r="E46" s="72" t="n">
        <f aca="false">IFERROR(E45/C7,0)</f>
        <v>0</v>
      </c>
      <c r="F46" s="72"/>
      <c r="G46" s="72"/>
      <c r="H46" s="72"/>
    </row>
  </sheetData>
  <autoFilter ref="A19:H29"/>
  <mergeCells count="26">
    <mergeCell ref="A1:H1"/>
    <mergeCell ref="A2:H2"/>
    <mergeCell ref="A4:H4"/>
    <mergeCell ref="B5:D5"/>
    <mergeCell ref="F5:H5"/>
    <mergeCell ref="B6:D6"/>
    <mergeCell ref="B7:D7"/>
    <mergeCell ref="F7:H7"/>
    <mergeCell ref="B8:D8"/>
    <mergeCell ref="F8:H8"/>
    <mergeCell ref="A10:H10"/>
    <mergeCell ref="A18:H18"/>
    <mergeCell ref="A32:H32"/>
    <mergeCell ref="A40:H40"/>
    <mergeCell ref="A41:D41"/>
    <mergeCell ref="E41:H41"/>
    <mergeCell ref="A42:D42"/>
    <mergeCell ref="E42:H42"/>
    <mergeCell ref="A43:D43"/>
    <mergeCell ref="E43:H43"/>
    <mergeCell ref="A44:D44"/>
    <mergeCell ref="E44:H44"/>
    <mergeCell ref="A45:D45"/>
    <mergeCell ref="E45:H45"/>
    <mergeCell ref="A46:D46"/>
    <mergeCell ref="E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9"/>
  </cols>
  <sheetData>
    <row r="1" customFormat="false" ht="45.75" hidden="false" customHeight="true" outlineLevel="0" collapsed="false">
      <c r="A1" s="73" t="s">
        <v>55</v>
      </c>
      <c r="B1" s="73"/>
      <c r="C1" s="73"/>
      <c r="D1" s="73"/>
      <c r="E1" s="73"/>
      <c r="F1" s="73"/>
      <c r="G1" s="73"/>
      <c r="H1" s="73"/>
    </row>
    <row r="2" customFormat="false" ht="18" hidden="false" customHeight="true" outlineLevel="0" collapsed="false">
      <c r="A2" s="3" t="s">
        <v>56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24" hidden="false" customHeight="true" outlineLevel="0" collapsed="false">
      <c r="A4" s="74" t="s">
        <v>57</v>
      </c>
      <c r="B4" s="74"/>
      <c r="C4" s="75" t="s">
        <v>58</v>
      </c>
      <c r="D4" s="75"/>
      <c r="E4" s="76" t="s">
        <v>59</v>
      </c>
      <c r="F4" s="76"/>
      <c r="G4" s="77" t="s">
        <v>60</v>
      </c>
      <c r="H4" s="77"/>
    </row>
    <row r="5" customFormat="false" ht="24" hidden="false" customHeight="true" outlineLevel="0" collapsed="false">
      <c r="A5" s="78" t="n">
        <f aca="false">'📋 PLAN SEMANAL'!C7</f>
        <v>0</v>
      </c>
      <c r="B5" s="78"/>
      <c r="C5" s="79" t="str">
        <f aca="false">'📋 PLAN SEMANAL'!E7</f>
        <v>Acumulado a hoy:</v>
      </c>
      <c r="D5" s="79"/>
      <c r="E5" s="80" t="n">
        <f aca="false">'📋 PLAN SEMANAL'!G13</f>
        <v>85</v>
      </c>
      <c r="F5" s="80"/>
      <c r="G5" s="81" t="n">
        <f aca="false">'📋 PLAN SEMANAL'!G16</f>
        <v>0</v>
      </c>
      <c r="H5" s="81"/>
    </row>
    <row r="6" customFormat="false" ht="24" hidden="false" customHeight="true" outlineLevel="0" collapsed="false">
      <c r="A6" s="82" t="s">
        <v>61</v>
      </c>
      <c r="B6" s="82"/>
      <c r="C6" s="83" t="s">
        <v>62</v>
      </c>
      <c r="D6" s="83"/>
      <c r="E6" s="84" t="s">
        <v>63</v>
      </c>
      <c r="F6" s="84"/>
      <c r="G6" s="85" t="s">
        <v>64</v>
      </c>
      <c r="H6" s="85"/>
    </row>
    <row r="7" customFormat="false" ht="7.5" hidden="false" customHeight="true" outlineLevel="0" collapsed="false"/>
    <row r="8" customFormat="false" ht="24" hidden="false" customHeight="true" outlineLevel="0" collapsed="false">
      <c r="A8" s="86" t="s">
        <v>65</v>
      </c>
      <c r="B8" s="86"/>
      <c r="C8" s="87" t="s">
        <v>66</v>
      </c>
      <c r="D8" s="87"/>
      <c r="E8" s="75" t="s">
        <v>67</v>
      </c>
      <c r="F8" s="75"/>
      <c r="G8" s="75" t="s">
        <v>68</v>
      </c>
      <c r="H8" s="75"/>
    </row>
    <row r="9" customFormat="false" ht="24" hidden="false" customHeight="true" outlineLevel="0" collapsed="false">
      <c r="A9" s="88" t="n">
        <f aca="false">'📋 PLAN SEMANAL'!G15</f>
        <v>0</v>
      </c>
      <c r="B9" s="88"/>
      <c r="C9" s="89" t="n">
        <f aca="false">'📋 PLAN SEMANAL'!E30</f>
        <v>0</v>
      </c>
      <c r="D9" s="89"/>
      <c r="E9" s="90" t="n">
        <f aca="false">'📋 PLAN SEMANAL'!E41+E42</f>
        <v>85</v>
      </c>
      <c r="F9" s="90"/>
      <c r="G9" s="91" t="n">
        <f aca="false">IFERROR(('📋 PLAN SEMANAL'!E7+'📋 PLAN SEMANAL'!E30)/'📋 PLAN SEMANAL'!C7,0)</f>
        <v>0</v>
      </c>
      <c r="H9" s="91"/>
    </row>
    <row r="10" customFormat="false" ht="24" hidden="false" customHeight="true" outlineLevel="0" collapsed="false">
      <c r="A10" s="92" t="s">
        <v>69</v>
      </c>
      <c r="B10" s="92"/>
      <c r="C10" s="93" t="s">
        <v>70</v>
      </c>
      <c r="D10" s="93"/>
      <c r="E10" s="83" t="s">
        <v>71</v>
      </c>
      <c r="F10" s="83"/>
      <c r="G10" s="83" t="s">
        <v>72</v>
      </c>
      <c r="H10" s="83"/>
    </row>
    <row r="11" customFormat="false" ht="7.5" hidden="false" customHeight="true" outlineLevel="0" collapsed="false"/>
    <row r="12" customFormat="false" ht="27.75" hidden="false" customHeight="true" outlineLevel="0" collapsed="false">
      <c r="A12" s="94" t="s">
        <v>73</v>
      </c>
      <c r="B12" s="94"/>
      <c r="C12" s="94"/>
      <c r="D12" s="94"/>
      <c r="E12" s="94"/>
      <c r="F12" s="94"/>
      <c r="G12" s="94"/>
      <c r="H12" s="94"/>
    </row>
    <row r="13" customFormat="false" ht="21.75" hidden="false" customHeight="true" outlineLevel="0" collapsed="false">
      <c r="A13" s="95" t="s">
        <v>74</v>
      </c>
      <c r="B13" s="95" t="s">
        <v>33</v>
      </c>
      <c r="C13" s="95" t="s">
        <v>75</v>
      </c>
      <c r="D13" s="95" t="s">
        <v>27</v>
      </c>
      <c r="E13" s="95" t="s">
        <v>28</v>
      </c>
      <c r="F13" s="95" t="s">
        <v>29</v>
      </c>
      <c r="G13" s="95" t="s">
        <v>30</v>
      </c>
      <c r="H13" s="95" t="s">
        <v>18</v>
      </c>
    </row>
    <row r="14" customFormat="false" ht="21.75" hidden="false" customHeight="true" outlineLevel="0" collapsed="false">
      <c r="A14" s="5" t="n">
        <f aca="false">'📋 PLAN SEMANAL'!A20</f>
        <v>0</v>
      </c>
      <c r="B14" s="27" t="n">
        <f aca="false">'📋 PLAN SEMANAL'!B20</f>
        <v>0</v>
      </c>
      <c r="C14" s="96" t="n">
        <f aca="false">'📋 PLAN SEMANAL'!C20</f>
        <v>0</v>
      </c>
      <c r="D14" s="96" t="n">
        <f aca="false">'📋 PLAN SEMANAL'!D20</f>
        <v>0</v>
      </c>
      <c r="E14" s="97" t="n">
        <f aca="false">'📋 PLAN SEMANAL'!E20</f>
        <v>0</v>
      </c>
      <c r="F14" s="96" t="n">
        <f aca="false">'📋 PLAN SEMANAL'!F20</f>
        <v>0</v>
      </c>
      <c r="G14" s="27" t="n">
        <f aca="false">'📋 PLAN SEMANAL'!G20</f>
        <v>0</v>
      </c>
      <c r="H14" s="27" t="n">
        <f aca="false">'📋 PLAN SEMANAL'!H20</f>
        <v>0</v>
      </c>
    </row>
    <row r="15" customFormat="false" ht="21.75" hidden="false" customHeight="true" outlineLevel="0" collapsed="false">
      <c r="A15" s="8" t="n">
        <f aca="false">'📋 PLAN SEMANAL'!A21</f>
        <v>0</v>
      </c>
      <c r="B15" s="32" t="n">
        <f aca="false">'📋 PLAN SEMANAL'!B21</f>
        <v>0</v>
      </c>
      <c r="C15" s="98" t="n">
        <f aca="false">'📋 PLAN SEMANAL'!C21</f>
        <v>0</v>
      </c>
      <c r="D15" s="98" t="n">
        <f aca="false">'📋 PLAN SEMANAL'!D21</f>
        <v>0</v>
      </c>
      <c r="E15" s="97" t="n">
        <f aca="false">'📋 PLAN SEMANAL'!E21</f>
        <v>0</v>
      </c>
      <c r="F15" s="98" t="n">
        <f aca="false">'📋 PLAN SEMANAL'!F21</f>
        <v>0</v>
      </c>
      <c r="G15" s="32" t="n">
        <f aca="false">'📋 PLAN SEMANAL'!G21</f>
        <v>0</v>
      </c>
      <c r="H15" s="32" t="n">
        <f aca="false">'📋 PLAN SEMANAL'!H21</f>
        <v>0</v>
      </c>
    </row>
    <row r="16" customFormat="false" ht="21.75" hidden="false" customHeight="true" outlineLevel="0" collapsed="false">
      <c r="A16" s="5" t="n">
        <f aca="false">'📋 PLAN SEMANAL'!A22</f>
        <v>0</v>
      </c>
      <c r="B16" s="27" t="n">
        <f aca="false">'📋 PLAN SEMANAL'!B22</f>
        <v>0</v>
      </c>
      <c r="C16" s="96" t="n">
        <f aca="false">'📋 PLAN SEMANAL'!C22</f>
        <v>0</v>
      </c>
      <c r="D16" s="96" t="n">
        <f aca="false">'📋 PLAN SEMANAL'!D22</f>
        <v>0</v>
      </c>
      <c r="E16" s="97" t="n">
        <f aca="false">'📋 PLAN SEMANAL'!E22</f>
        <v>0</v>
      </c>
      <c r="F16" s="96" t="n">
        <f aca="false">'📋 PLAN SEMANAL'!F22</f>
        <v>0</v>
      </c>
      <c r="G16" s="27" t="n">
        <f aca="false">'📋 PLAN SEMANAL'!G22</f>
        <v>0</v>
      </c>
      <c r="H16" s="27" t="n">
        <f aca="false">'📋 PLAN SEMANAL'!H22</f>
        <v>0</v>
      </c>
    </row>
    <row r="17" customFormat="false" ht="21.75" hidden="false" customHeight="true" outlineLevel="0" collapsed="false">
      <c r="A17" s="8" t="n">
        <f aca="false">'📋 PLAN SEMANAL'!A23</f>
        <v>0</v>
      </c>
      <c r="B17" s="32" t="n">
        <f aca="false">'📋 PLAN SEMANAL'!B23</f>
        <v>0</v>
      </c>
      <c r="C17" s="98" t="n">
        <f aca="false">'📋 PLAN SEMANAL'!C23</f>
        <v>0</v>
      </c>
      <c r="D17" s="98" t="n">
        <f aca="false">'📋 PLAN SEMANAL'!D23</f>
        <v>0</v>
      </c>
      <c r="E17" s="97" t="n">
        <f aca="false">'📋 PLAN SEMANAL'!E23</f>
        <v>0</v>
      </c>
      <c r="F17" s="98" t="n">
        <f aca="false">'📋 PLAN SEMANAL'!F23</f>
        <v>0</v>
      </c>
      <c r="G17" s="32" t="n">
        <f aca="false">'📋 PLAN SEMANAL'!G23</f>
        <v>0</v>
      </c>
      <c r="H17" s="32" t="n">
        <f aca="false">'📋 PLAN SEMANAL'!H23</f>
        <v>0</v>
      </c>
    </row>
    <row r="18" customFormat="false" ht="21.75" hidden="false" customHeight="true" outlineLevel="0" collapsed="false">
      <c r="A18" s="5" t="n">
        <f aca="false">'📋 PLAN SEMANAL'!A24</f>
        <v>0</v>
      </c>
      <c r="B18" s="27" t="n">
        <f aca="false">'📋 PLAN SEMANAL'!B24</f>
        <v>0</v>
      </c>
      <c r="C18" s="96" t="n">
        <f aca="false">'📋 PLAN SEMANAL'!C24</f>
        <v>0</v>
      </c>
      <c r="D18" s="96" t="n">
        <f aca="false">'📋 PLAN SEMANAL'!D24</f>
        <v>0</v>
      </c>
      <c r="E18" s="97" t="n">
        <f aca="false">'📋 PLAN SEMANAL'!E24</f>
        <v>0</v>
      </c>
      <c r="F18" s="96" t="n">
        <f aca="false">'📋 PLAN SEMANAL'!F24</f>
        <v>0</v>
      </c>
      <c r="G18" s="27" t="n">
        <f aca="false">'📋 PLAN SEMANAL'!G24</f>
        <v>0</v>
      </c>
      <c r="H18" s="27" t="n">
        <f aca="false">'📋 PLAN SEMANAL'!H24</f>
        <v>0</v>
      </c>
    </row>
    <row r="19" customFormat="false" ht="21.75" hidden="false" customHeight="true" outlineLevel="0" collapsed="false">
      <c r="A19" s="8" t="n">
        <f aca="false">'📋 PLAN SEMANAL'!A25</f>
        <v>0</v>
      </c>
      <c r="B19" s="32" t="n">
        <f aca="false">'📋 PLAN SEMANAL'!B25</f>
        <v>0</v>
      </c>
      <c r="C19" s="98" t="n">
        <f aca="false">'📋 PLAN SEMANAL'!C25</f>
        <v>0</v>
      </c>
      <c r="D19" s="98" t="n">
        <f aca="false">'📋 PLAN SEMANAL'!D25</f>
        <v>0</v>
      </c>
      <c r="E19" s="97" t="n">
        <f aca="false">'📋 PLAN SEMANAL'!E25</f>
        <v>0</v>
      </c>
      <c r="F19" s="98" t="n">
        <f aca="false">'📋 PLAN SEMANAL'!F25</f>
        <v>0</v>
      </c>
      <c r="G19" s="32" t="n">
        <f aca="false">'📋 PLAN SEMANAL'!G25</f>
        <v>0</v>
      </c>
      <c r="H19" s="32" t="n">
        <f aca="false">'📋 PLAN SEMANAL'!H25</f>
        <v>0</v>
      </c>
    </row>
    <row r="20" customFormat="false" ht="21.75" hidden="false" customHeight="true" outlineLevel="0" collapsed="false">
      <c r="A20" s="5" t="n">
        <f aca="false">'📋 PLAN SEMANAL'!A26</f>
        <v>0</v>
      </c>
      <c r="B20" s="27" t="n">
        <f aca="false">'📋 PLAN SEMANAL'!B26</f>
        <v>0</v>
      </c>
      <c r="C20" s="96" t="n">
        <f aca="false">'📋 PLAN SEMANAL'!C26</f>
        <v>0</v>
      </c>
      <c r="D20" s="96" t="n">
        <f aca="false">'📋 PLAN SEMANAL'!D26</f>
        <v>0</v>
      </c>
      <c r="E20" s="97" t="n">
        <f aca="false">'📋 PLAN SEMANAL'!E26</f>
        <v>0</v>
      </c>
      <c r="F20" s="96" t="n">
        <f aca="false">'📋 PLAN SEMANAL'!F26</f>
        <v>0</v>
      </c>
      <c r="G20" s="27" t="n">
        <f aca="false">'📋 PLAN SEMANAL'!G26</f>
        <v>0</v>
      </c>
      <c r="H20" s="27" t="n">
        <f aca="false">'📋 PLAN SEMANAL'!H26</f>
        <v>0</v>
      </c>
    </row>
    <row r="21" customFormat="false" ht="21.75" hidden="false" customHeight="true" outlineLevel="0" collapsed="false">
      <c r="A21" s="8" t="n">
        <f aca="false">'📋 PLAN SEMANAL'!A27</f>
        <v>0</v>
      </c>
      <c r="B21" s="32" t="n">
        <f aca="false">'📋 PLAN SEMANAL'!B27</f>
        <v>0</v>
      </c>
      <c r="C21" s="98" t="n">
        <f aca="false">'📋 PLAN SEMANAL'!C27</f>
        <v>0</v>
      </c>
      <c r="D21" s="98" t="n">
        <f aca="false">'📋 PLAN SEMANAL'!D27</f>
        <v>0</v>
      </c>
      <c r="E21" s="97" t="n">
        <f aca="false">'📋 PLAN SEMANAL'!E27</f>
        <v>0</v>
      </c>
      <c r="F21" s="98" t="n">
        <f aca="false">'📋 PLAN SEMANAL'!F27</f>
        <v>0</v>
      </c>
      <c r="G21" s="32" t="n">
        <f aca="false">'📋 PLAN SEMANAL'!G27</f>
        <v>0</v>
      </c>
      <c r="H21" s="32" t="n">
        <f aca="false">'📋 PLAN SEMANAL'!H27</f>
        <v>0</v>
      </c>
    </row>
    <row r="22" customFormat="false" ht="21.75" hidden="false" customHeight="true" outlineLevel="0" collapsed="false">
      <c r="A22" s="5" t="n">
        <f aca="false">'📋 PLAN SEMANAL'!A28</f>
        <v>0</v>
      </c>
      <c r="B22" s="27" t="n">
        <f aca="false">'📋 PLAN SEMANAL'!B28</f>
        <v>0</v>
      </c>
      <c r="C22" s="96" t="n">
        <f aca="false">'📋 PLAN SEMANAL'!C28</f>
        <v>0</v>
      </c>
      <c r="D22" s="96" t="n">
        <f aca="false">'📋 PLAN SEMANAL'!D28</f>
        <v>0</v>
      </c>
      <c r="E22" s="97" t="n">
        <f aca="false">'📋 PLAN SEMANAL'!E28</f>
        <v>0</v>
      </c>
      <c r="F22" s="96" t="n">
        <f aca="false">'📋 PLAN SEMANAL'!F28</f>
        <v>0</v>
      </c>
      <c r="G22" s="27" t="n">
        <f aca="false">'📋 PLAN SEMANAL'!G28</f>
        <v>0</v>
      </c>
      <c r="H22" s="27" t="n">
        <f aca="false">'📋 PLAN SEMANAL'!H28</f>
        <v>0</v>
      </c>
    </row>
    <row r="23" customFormat="false" ht="21.75" hidden="false" customHeight="true" outlineLevel="0" collapsed="false">
      <c r="A23" s="8" t="n">
        <f aca="false">'📋 PLAN SEMANAL'!A29</f>
        <v>0</v>
      </c>
      <c r="B23" s="32" t="n">
        <f aca="false">'📋 PLAN SEMANAL'!B29</f>
        <v>0</v>
      </c>
      <c r="C23" s="98" t="n">
        <f aca="false">'📋 PLAN SEMANAL'!C29</f>
        <v>0</v>
      </c>
      <c r="D23" s="98" t="n">
        <f aca="false">'📋 PLAN SEMANAL'!D29</f>
        <v>0</v>
      </c>
      <c r="E23" s="97" t="n">
        <f aca="false">'📋 PLAN SEMANAL'!E29</f>
        <v>0</v>
      </c>
      <c r="F23" s="98" t="n">
        <f aca="false">'📋 PLAN SEMANAL'!F29</f>
        <v>0</v>
      </c>
      <c r="G23" s="32" t="n">
        <f aca="false">'📋 PLAN SEMANAL'!G29</f>
        <v>0</v>
      </c>
      <c r="H23" s="32" t="n">
        <f aca="false">'📋 PLAN SEMANAL'!H29</f>
        <v>0</v>
      </c>
    </row>
    <row r="24" customFormat="false" ht="25.5" hidden="false" customHeight="true" outlineLevel="0" collapsed="false">
      <c r="A24" s="35" t="s">
        <v>76</v>
      </c>
      <c r="B24" s="35"/>
      <c r="C24" s="35"/>
      <c r="D24" s="35"/>
      <c r="E24" s="99" t="n">
        <f aca="false">'📋 PLAN SEMANAL'!E30</f>
        <v>0</v>
      </c>
      <c r="F24" s="99"/>
      <c r="G24" s="99"/>
      <c r="H24" s="99"/>
    </row>
    <row r="25" customFormat="false" ht="7.5" hidden="false" customHeight="true" outlineLevel="0" collapsed="false"/>
    <row r="26" customFormat="false" ht="27.75" hidden="false" customHeight="true" outlineLevel="0" collapsed="false">
      <c r="A26" s="100" t="s">
        <v>77</v>
      </c>
      <c r="B26" s="100"/>
      <c r="C26" s="100"/>
      <c r="D26" s="100"/>
      <c r="E26" s="100"/>
      <c r="F26" s="100"/>
      <c r="G26" s="100"/>
      <c r="H26" s="100"/>
    </row>
    <row r="27" customFormat="false" ht="21.75" hidden="false" customHeight="true" outlineLevel="0" collapsed="false">
      <c r="A27" s="40" t="s">
        <v>33</v>
      </c>
      <c r="B27" s="40" t="s">
        <v>78</v>
      </c>
      <c r="C27" s="40" t="s">
        <v>79</v>
      </c>
      <c r="D27" s="40" t="s">
        <v>80</v>
      </c>
      <c r="E27" s="40" t="s">
        <v>81</v>
      </c>
      <c r="F27" s="40" t="s">
        <v>82</v>
      </c>
      <c r="G27" s="40" t="s">
        <v>38</v>
      </c>
      <c r="H27" s="40" t="s">
        <v>83</v>
      </c>
    </row>
    <row r="28" customFormat="false" ht="21.75" hidden="false" customHeight="true" outlineLevel="0" collapsed="false">
      <c r="A28" s="41" t="str">
        <f aca="false">'📋 PLAN SEMANAL'!A34</f>
        <v>💚 Plan Salud + Vida</v>
      </c>
      <c r="B28" s="101" t="n">
        <f aca="false">'📋 PLAN SEMANAL'!B34</f>
        <v>503</v>
      </c>
      <c r="C28" s="101" t="n">
        <f aca="false">'📋 PLAN SEMANAL'!C34</f>
        <v>40</v>
      </c>
      <c r="D28" s="101" t="n">
        <f aca="false">'📋 PLAN SEMANAL'!D34</f>
        <v>2</v>
      </c>
      <c r="E28" s="101" t="n">
        <f aca="false">'📋 PLAN SEMANAL'!E34</f>
        <v>1</v>
      </c>
      <c r="F28" s="102" t="n">
        <f aca="false">'📋 PLAN SEMANAL'!F34</f>
        <v>0</v>
      </c>
      <c r="G28" s="101" t="str">
        <f aca="false">'📋 PLAN SEMANAL'!G34</f>
        <v>🔥 URGENTE</v>
      </c>
      <c r="H28" s="101" t="n">
        <f aca="false">'📋 PLAN SEMANAL'!H34</f>
        <v>0</v>
      </c>
    </row>
    <row r="29" customFormat="false" ht="21.75" hidden="false" customHeight="true" outlineLevel="0" collapsed="false">
      <c r="A29" s="8" t="str">
        <f aca="false">'📋 PLAN SEMANAL'!A35</f>
        <v>🏠 MiHogar Seguro</v>
      </c>
      <c r="B29" s="98" t="n">
        <f aca="false">'📋 PLAN SEMANAL'!B35</f>
        <v>52</v>
      </c>
      <c r="C29" s="98" t="n">
        <f aca="false">'📋 PLAN SEMANAL'!C35</f>
        <v>15</v>
      </c>
      <c r="D29" s="98" t="n">
        <f aca="false">'📋 PLAN SEMANAL'!D35</f>
        <v>2</v>
      </c>
      <c r="E29" s="98" t="n">
        <f aca="false">'📋 PLAN SEMANAL'!E35</f>
        <v>0</v>
      </c>
      <c r="F29" s="103" t="n">
        <f aca="false">'📋 PLAN SEMANAL'!F35</f>
        <v>0</v>
      </c>
      <c r="G29" s="98" t="str">
        <f aca="false">'📋 PLAN SEMANAL'!G35</f>
        <v>⭐ ALTA</v>
      </c>
      <c r="H29" s="98" t="n">
        <f aca="false">'📋 PLAN SEMANAL'!H35</f>
        <v>0</v>
      </c>
    </row>
    <row r="30" customFormat="false" ht="21.75" hidden="false" customHeight="true" outlineLevel="0" collapsed="false">
      <c r="A30" s="5" t="str">
        <f aca="false">'📋 PLAN SEMANAL'!A36</f>
        <v>👴 Contigo Senior</v>
      </c>
      <c r="B30" s="96" t="n">
        <f aca="false">'📋 PLAN SEMANAL'!B36</f>
        <v>171</v>
      </c>
      <c r="C30" s="96" t="n">
        <f aca="false">'📋 PLAN SEMANAL'!C36</f>
        <v>20</v>
      </c>
      <c r="D30" s="96" t="n">
        <f aca="false">'📋 PLAN SEMANAL'!D36</f>
        <v>1</v>
      </c>
      <c r="E30" s="96" t="n">
        <f aca="false">'📋 PLAN SEMANAL'!E36</f>
        <v>0</v>
      </c>
      <c r="F30" s="104" t="n">
        <f aca="false">'📋 PLAN SEMANAL'!F36</f>
        <v>0</v>
      </c>
      <c r="G30" s="96" t="str">
        <f aca="false">'📋 PLAN SEMANAL'!G36</f>
        <v>⭐ ALTA</v>
      </c>
      <c r="H30" s="96" t="n">
        <f aca="false">'📋 PLAN SEMANAL'!H36</f>
        <v>0</v>
      </c>
    </row>
    <row r="31" customFormat="false" ht="21.75" hidden="false" customHeight="true" outlineLevel="0" collapsed="false">
      <c r="A31" s="8" t="str">
        <f aca="false">'📋 PLAN SEMANAL'!A37</f>
        <v>👨‍👩‍👧 Contigo Familia</v>
      </c>
      <c r="B31" s="98" t="n">
        <f aca="false">'📋 PLAN SEMANAL'!B37</f>
        <v>3</v>
      </c>
      <c r="C31" s="98" t="n">
        <f aca="false">'📋 PLAN SEMANAL'!C37</f>
        <v>5</v>
      </c>
      <c r="D31" s="98" t="n">
        <f aca="false">'📋 PLAN SEMANAL'!D37</f>
        <v>1</v>
      </c>
      <c r="E31" s="98" t="n">
        <f aca="false">'📋 PLAN SEMANAL'!E37</f>
        <v>0</v>
      </c>
      <c r="F31" s="103" t="n">
        <f aca="false">'📋 PLAN SEMANAL'!F37</f>
        <v>0</v>
      </c>
      <c r="G31" s="98" t="str">
        <f aca="false">'📋 PLAN SEMANAL'!G37</f>
        <v>🟡 MEDIA</v>
      </c>
      <c r="H31" s="98" t="n">
        <f aca="false">'📋 PLAN SEMANAL'!H37</f>
        <v>0</v>
      </c>
    </row>
    <row r="32" customFormat="false" ht="21.75" hidden="false" customHeight="true" outlineLevel="0" collapsed="false">
      <c r="A32" s="5" t="str">
        <f aca="false">'📋 PLAN SEMANAL'!A38</f>
        <v>💰 PPSA Autónomos</v>
      </c>
      <c r="B32" s="96" t="n">
        <f aca="false">'📋 PLAN SEMANAL'!B38</f>
        <v>0</v>
      </c>
      <c r="C32" s="96" t="n">
        <f aca="false">'📋 PLAN SEMANAL'!C38</f>
        <v>5</v>
      </c>
      <c r="D32" s="96" t="n">
        <f aca="false">'📋 PLAN SEMANAL'!D38</f>
        <v>0</v>
      </c>
      <c r="E32" s="96" t="n">
        <f aca="false">'📋 PLAN SEMANAL'!E38</f>
        <v>0</v>
      </c>
      <c r="F32" s="104" t="n">
        <f aca="false">'📋 PLAN SEMANAL'!F38</f>
        <v>0</v>
      </c>
      <c r="G32" s="96" t="str">
        <f aca="false">'📋 PLAN SEMANAL'!G38</f>
        <v>🟡 MEDIA</v>
      </c>
      <c r="H32" s="96" t="n">
        <f aca="false">'📋 PLAN SEMANAL'!H38</f>
        <v>0</v>
      </c>
    </row>
  </sheetData>
  <mergeCells count="3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24:D24"/>
    <mergeCell ref="E24:H24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4"/>
    <col collapsed="false" customWidth="true" hidden="false" outlineLevel="0" max="8" min="8" style="1" width="20"/>
  </cols>
  <sheetData>
    <row r="1" customFormat="false" ht="37.5" hidden="false" customHeight="true" outlineLevel="0" collapsed="false">
      <c r="A1" s="105" t="s">
        <v>84</v>
      </c>
      <c r="B1" s="105"/>
      <c r="C1" s="105"/>
      <c r="D1" s="105"/>
      <c r="E1" s="105"/>
      <c r="F1" s="105"/>
      <c r="G1" s="105"/>
      <c r="H1" s="105"/>
    </row>
    <row r="2" customFormat="false" ht="18" hidden="false" customHeight="true" outlineLevel="0" collapsed="false">
      <c r="A2" s="106" t="s">
        <v>85</v>
      </c>
      <c r="B2" s="106"/>
      <c r="C2" s="106"/>
      <c r="D2" s="106"/>
      <c r="E2" s="106"/>
      <c r="F2" s="106"/>
      <c r="G2" s="106"/>
      <c r="H2" s="106"/>
    </row>
    <row r="4" customFormat="false" ht="27.75" hidden="false" customHeight="true" outlineLevel="0" collapsed="false">
      <c r="A4" s="107" t="s">
        <v>86</v>
      </c>
      <c r="B4" s="107"/>
      <c r="C4" s="107"/>
      <c r="D4" s="107"/>
      <c r="E4" s="107"/>
      <c r="F4" s="107"/>
      <c r="G4" s="107"/>
      <c r="H4" s="107"/>
    </row>
    <row r="5" customFormat="false" ht="21.75" hidden="false" customHeight="true" outlineLevel="0" collapsed="false">
      <c r="A5" s="5" t="s">
        <v>87</v>
      </c>
      <c r="B5" s="10"/>
      <c r="C5" s="10"/>
      <c r="D5" s="10"/>
      <c r="E5" s="10"/>
      <c r="F5" s="10"/>
      <c r="G5" s="10"/>
      <c r="H5" s="10"/>
    </row>
    <row r="6" customFormat="false" ht="21.75" hidden="false" customHeight="true" outlineLevel="0" collapsed="false">
      <c r="A6" s="8" t="s">
        <v>88</v>
      </c>
      <c r="B6" s="10"/>
      <c r="C6" s="10"/>
      <c r="D6" s="10"/>
      <c r="E6" s="10"/>
      <c r="F6" s="10"/>
      <c r="G6" s="10"/>
      <c r="H6" s="10"/>
    </row>
    <row r="7" customFormat="false" ht="21.75" hidden="false" customHeight="true" outlineLevel="0" collapsed="false">
      <c r="A7" s="5" t="s">
        <v>3</v>
      </c>
      <c r="B7" s="10" t="str">
        <f aca="true">TEXT(TODAY(),"DD/MM/YYYY")</f>
        <v>21/03/2026</v>
      </c>
      <c r="C7" s="10"/>
      <c r="D7" s="10"/>
      <c r="E7" s="10"/>
      <c r="F7" s="10"/>
      <c r="G7" s="10"/>
      <c r="H7" s="10"/>
    </row>
    <row r="8" customFormat="false" ht="21.75" hidden="false" customHeight="true" outlineLevel="0" collapsed="false">
      <c r="A8" s="8" t="s">
        <v>89</v>
      </c>
      <c r="B8" s="10" t="s">
        <v>90</v>
      </c>
      <c r="C8" s="10"/>
      <c r="D8" s="10"/>
      <c r="E8" s="10"/>
      <c r="F8" s="10"/>
      <c r="G8" s="10"/>
      <c r="H8" s="10"/>
    </row>
    <row r="10" customFormat="false" ht="27.75" hidden="false" customHeight="true" outlineLevel="0" collapsed="false">
      <c r="A10" s="108" t="s">
        <v>91</v>
      </c>
      <c r="B10" s="108"/>
      <c r="C10" s="108"/>
      <c r="D10" s="108"/>
      <c r="E10" s="108"/>
      <c r="F10" s="108"/>
      <c r="G10" s="108"/>
      <c r="H10" s="108"/>
    </row>
    <row r="11" customFormat="false" ht="21.75" hidden="false" customHeight="true" outlineLevel="0" collapsed="false">
      <c r="A11" s="13"/>
      <c r="B11" s="13" t="s">
        <v>12</v>
      </c>
      <c r="C11" s="13" t="s">
        <v>13</v>
      </c>
      <c r="D11" s="13" t="s">
        <v>14</v>
      </c>
      <c r="E11" s="13" t="s">
        <v>15</v>
      </c>
      <c r="F11" s="13" t="s">
        <v>16</v>
      </c>
      <c r="G11" s="13" t="s">
        <v>92</v>
      </c>
      <c r="H11" s="13" t="s">
        <v>39</v>
      </c>
    </row>
    <row r="12" customFormat="false" ht="21.75" hidden="false" customHeight="true" outlineLevel="0" collapsed="false">
      <c r="A12" s="14" t="s">
        <v>93</v>
      </c>
      <c r="B12" s="7"/>
      <c r="C12" s="7"/>
      <c r="D12" s="7"/>
      <c r="E12" s="7"/>
      <c r="F12" s="7"/>
      <c r="G12" s="109" t="n">
        <f aca="false">SUM(B12:F12)</f>
        <v>0</v>
      </c>
      <c r="H12" s="110"/>
    </row>
    <row r="13" customFormat="false" ht="21.75" hidden="false" customHeight="true" outlineLevel="0" collapsed="false">
      <c r="A13" s="17" t="s">
        <v>94</v>
      </c>
      <c r="B13" s="7"/>
      <c r="C13" s="7"/>
      <c r="D13" s="7"/>
      <c r="E13" s="7"/>
      <c r="F13" s="7"/>
      <c r="G13" s="111" t="n">
        <f aca="false">SUM(B13:F13)</f>
        <v>0</v>
      </c>
      <c r="H13" s="112"/>
    </row>
    <row r="14" customFormat="false" ht="21.75" hidden="false" customHeight="true" outlineLevel="0" collapsed="false">
      <c r="A14" s="19" t="s">
        <v>95</v>
      </c>
      <c r="B14" s="7"/>
      <c r="C14" s="7"/>
      <c r="D14" s="7"/>
      <c r="E14" s="7"/>
      <c r="F14" s="7"/>
      <c r="G14" s="113" t="n">
        <f aca="false">SUM(B14:F14)</f>
        <v>0</v>
      </c>
      <c r="H14" s="114"/>
    </row>
    <row r="15" customFormat="false" ht="21.75" hidden="false" customHeight="true" outlineLevel="0" collapsed="false">
      <c r="A15" s="22" t="s">
        <v>96</v>
      </c>
      <c r="B15" s="7"/>
      <c r="C15" s="7"/>
      <c r="D15" s="7"/>
      <c r="E15" s="7"/>
      <c r="F15" s="7"/>
      <c r="G15" s="115" t="n">
        <f aca="false">SUM(B15:F15)</f>
        <v>0</v>
      </c>
      <c r="H15" s="116"/>
    </row>
    <row r="16" customFormat="false" ht="21.75" hidden="false" customHeight="true" outlineLevel="0" collapsed="false">
      <c r="A16" s="41" t="s">
        <v>97</v>
      </c>
      <c r="B16" s="7"/>
      <c r="C16" s="7"/>
      <c r="D16" s="7"/>
      <c r="E16" s="7"/>
      <c r="F16" s="7"/>
      <c r="G16" s="117" t="n">
        <f aca="false">SUM(B16:F16)</f>
        <v>0</v>
      </c>
      <c r="H16" s="118"/>
    </row>
    <row r="18" customFormat="false" ht="27.75" hidden="false" customHeight="true" outlineLevel="0" collapsed="false">
      <c r="A18" s="25" t="s">
        <v>98</v>
      </c>
      <c r="B18" s="25"/>
      <c r="C18" s="25"/>
      <c r="D18" s="25"/>
      <c r="E18" s="25"/>
      <c r="F18" s="25"/>
      <c r="G18" s="25"/>
      <c r="H18" s="25"/>
    </row>
    <row r="19" customFormat="false" ht="21.75" hidden="false" customHeight="true" outlineLevel="0" collapsed="false">
      <c r="A19" s="26" t="s">
        <v>24</v>
      </c>
      <c r="B19" s="26" t="s">
        <v>33</v>
      </c>
      <c r="C19" s="26" t="s">
        <v>75</v>
      </c>
      <c r="D19" s="26" t="s">
        <v>27</v>
      </c>
      <c r="E19" s="26" t="s">
        <v>28</v>
      </c>
      <c r="F19" s="26" t="s">
        <v>29</v>
      </c>
      <c r="G19" s="26" t="s">
        <v>30</v>
      </c>
      <c r="H19" s="26" t="s">
        <v>18</v>
      </c>
    </row>
    <row r="20" customFormat="false" ht="21.75" hidden="false" customHeight="true" outlineLevel="0" collapsed="false">
      <c r="A20" s="27"/>
      <c r="B20" s="27"/>
      <c r="C20" s="28"/>
      <c r="D20" s="28"/>
      <c r="E20" s="97"/>
      <c r="F20" s="96"/>
      <c r="G20" s="96"/>
      <c r="H20" s="96"/>
    </row>
    <row r="21" customFormat="false" ht="21.75" hidden="false" customHeight="true" outlineLevel="0" collapsed="false">
      <c r="A21" s="32"/>
      <c r="B21" s="32"/>
      <c r="C21" s="28"/>
      <c r="D21" s="28"/>
      <c r="E21" s="97"/>
      <c r="F21" s="98"/>
      <c r="G21" s="98"/>
      <c r="H21" s="98"/>
    </row>
    <row r="22" customFormat="false" ht="21.75" hidden="false" customHeight="true" outlineLevel="0" collapsed="false">
      <c r="A22" s="27"/>
      <c r="B22" s="27"/>
      <c r="C22" s="28"/>
      <c r="D22" s="28"/>
      <c r="E22" s="97"/>
      <c r="F22" s="96"/>
      <c r="G22" s="96"/>
      <c r="H22" s="96"/>
    </row>
    <row r="23" customFormat="false" ht="21.75" hidden="false" customHeight="true" outlineLevel="0" collapsed="false">
      <c r="A23" s="32"/>
      <c r="B23" s="32"/>
      <c r="C23" s="28"/>
      <c r="D23" s="28"/>
      <c r="E23" s="97"/>
      <c r="F23" s="98"/>
      <c r="G23" s="98"/>
      <c r="H23" s="98"/>
    </row>
    <row r="24" customFormat="false" ht="21.75" hidden="false" customHeight="true" outlineLevel="0" collapsed="false">
      <c r="A24" s="27"/>
      <c r="B24" s="27"/>
      <c r="C24" s="28"/>
      <c r="D24" s="28"/>
      <c r="E24" s="97"/>
      <c r="F24" s="96"/>
      <c r="G24" s="96"/>
      <c r="H24" s="96"/>
    </row>
    <row r="25" customFormat="false" ht="21.75" hidden="false" customHeight="true" outlineLevel="0" collapsed="false">
      <c r="A25" s="32"/>
      <c r="B25" s="32"/>
      <c r="C25" s="28"/>
      <c r="D25" s="28"/>
      <c r="E25" s="97"/>
      <c r="F25" s="98"/>
      <c r="G25" s="98"/>
      <c r="H25" s="98"/>
    </row>
    <row r="26" customFormat="false" ht="21.75" hidden="false" customHeight="true" outlineLevel="0" collapsed="false">
      <c r="A26" s="27"/>
      <c r="B26" s="27"/>
      <c r="C26" s="28"/>
      <c r="D26" s="28"/>
      <c r="E26" s="97"/>
      <c r="F26" s="96"/>
      <c r="G26" s="96"/>
      <c r="H26" s="96"/>
    </row>
    <row r="27" customFormat="false" ht="21.75" hidden="false" customHeight="true" outlineLevel="0" collapsed="false">
      <c r="A27" s="32"/>
      <c r="B27" s="32"/>
      <c r="C27" s="28"/>
      <c r="D27" s="28"/>
      <c r="E27" s="97"/>
      <c r="F27" s="98"/>
      <c r="G27" s="98"/>
      <c r="H27" s="98"/>
    </row>
    <row r="28" customFormat="false" ht="24" hidden="false" customHeight="true" outlineLevel="0" collapsed="false">
      <c r="A28" s="35" t="s">
        <v>99</v>
      </c>
      <c r="B28" s="35"/>
      <c r="C28" s="35"/>
      <c r="D28" s="35"/>
      <c r="E28" s="99" t="n">
        <f aca="false">SUM(E20:E27)</f>
        <v>0</v>
      </c>
      <c r="F28" s="99"/>
      <c r="G28" s="99"/>
      <c r="H28" s="99"/>
    </row>
  </sheetData>
  <mergeCells count="11">
    <mergeCell ref="A1:H1"/>
    <mergeCell ref="A2:H2"/>
    <mergeCell ref="A4:H4"/>
    <mergeCell ref="B5:H5"/>
    <mergeCell ref="B6:H6"/>
    <mergeCell ref="B7:H7"/>
    <mergeCell ref="B8:H8"/>
    <mergeCell ref="A10:H10"/>
    <mergeCell ref="A18:H18"/>
    <mergeCell ref="A28:D28"/>
    <mergeCell ref="E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4"/>
    <col collapsed="false" customWidth="true" hidden="false" outlineLevel="0" max="8" min="8" style="1" width="20"/>
  </cols>
  <sheetData>
    <row r="1" customFormat="false" ht="43.5" hidden="false" customHeight="true" outlineLevel="0" collapsed="false">
      <c r="A1" s="119" t="s">
        <v>100</v>
      </c>
      <c r="B1" s="119"/>
      <c r="C1" s="119"/>
      <c r="D1" s="119"/>
      <c r="E1" s="119"/>
      <c r="F1" s="119"/>
      <c r="G1" s="119"/>
      <c r="H1" s="119"/>
    </row>
    <row r="2" customFormat="false" ht="18" hidden="false" customHeight="true" outlineLevel="0" collapsed="false">
      <c r="A2" s="120" t="s">
        <v>101</v>
      </c>
      <c r="B2" s="120"/>
      <c r="C2" s="120"/>
      <c r="D2" s="120"/>
      <c r="E2" s="120"/>
      <c r="F2" s="120"/>
      <c r="G2" s="120"/>
      <c r="H2" s="120"/>
    </row>
    <row r="4" customFormat="false" ht="27.75" hidden="false" customHeight="true" outlineLevel="0" collapsed="false">
      <c r="A4" s="64" t="s">
        <v>102</v>
      </c>
      <c r="B4" s="64"/>
      <c r="C4" s="64"/>
      <c r="D4" s="64"/>
      <c r="E4" s="64"/>
      <c r="F4" s="64"/>
      <c r="G4" s="64"/>
      <c r="H4" s="64"/>
    </row>
    <row r="5" customFormat="false" ht="36" hidden="false" customHeight="true" outlineLevel="0" collapsed="false">
      <c r="A5" s="121" t="s">
        <v>103</v>
      </c>
      <c r="B5" s="121" t="s">
        <v>104</v>
      </c>
      <c r="C5" s="121" t="s">
        <v>105</v>
      </c>
      <c r="D5" s="121" t="s">
        <v>106</v>
      </c>
      <c r="E5" s="121" t="s">
        <v>107</v>
      </c>
      <c r="F5" s="121" t="s">
        <v>28</v>
      </c>
      <c r="G5" s="121" t="s">
        <v>108</v>
      </c>
      <c r="H5" s="121" t="s">
        <v>29</v>
      </c>
    </row>
    <row r="6" customFormat="false" ht="25.5" hidden="false" customHeight="true" outlineLevel="0" collapsed="false">
      <c r="A6" s="122" t="s">
        <v>109</v>
      </c>
      <c r="B6" s="123" t="s">
        <v>110</v>
      </c>
      <c r="C6" s="124" t="n">
        <f aca="false">'📋 PLAN SEMANAL'!G13</f>
        <v>85</v>
      </c>
      <c r="D6" s="124" t="n">
        <f aca="false">'📋 PLAN SEMANAL'!G15</f>
        <v>0</v>
      </c>
      <c r="E6" s="124" t="n">
        <f aca="false">'📋 PLAN SEMANAL'!G16</f>
        <v>0</v>
      </c>
      <c r="F6" s="125" t="n">
        <f aca="false">'📋 PLAN SEMANAL'!E30</f>
        <v>0</v>
      </c>
      <c r="G6" s="126"/>
      <c r="H6" s="127" t="s">
        <v>111</v>
      </c>
    </row>
    <row r="7" customFormat="false" ht="24" hidden="false" customHeight="true" outlineLevel="0" collapsed="false">
      <c r="A7" s="128" t="s">
        <v>112</v>
      </c>
      <c r="B7" s="129"/>
      <c r="C7" s="7"/>
      <c r="D7" s="7"/>
      <c r="E7" s="7"/>
      <c r="F7" s="130"/>
      <c r="G7" s="131"/>
      <c r="H7" s="132"/>
    </row>
    <row r="8" customFormat="false" ht="24" hidden="false" customHeight="true" outlineLevel="0" collapsed="false">
      <c r="A8" s="133" t="s">
        <v>113</v>
      </c>
      <c r="B8" s="20"/>
      <c r="C8" s="7"/>
      <c r="D8" s="7"/>
      <c r="E8" s="7"/>
      <c r="F8" s="130"/>
      <c r="G8" s="134"/>
      <c r="H8" s="135"/>
    </row>
    <row r="9" customFormat="false" ht="24" hidden="false" customHeight="true" outlineLevel="0" collapsed="false">
      <c r="A9" s="136" t="s">
        <v>114</v>
      </c>
      <c r="B9" s="137"/>
      <c r="C9" s="7"/>
      <c r="D9" s="7"/>
      <c r="E9" s="7"/>
      <c r="F9" s="130"/>
      <c r="G9" s="138"/>
      <c r="H9" s="97"/>
    </row>
    <row r="10" customFormat="false" ht="24" hidden="false" customHeight="true" outlineLevel="0" collapsed="false">
      <c r="A10" s="139" t="s">
        <v>115</v>
      </c>
      <c r="B10" s="56"/>
      <c r="C10" s="7"/>
      <c r="D10" s="7"/>
      <c r="E10" s="7"/>
      <c r="F10" s="130"/>
      <c r="G10" s="140"/>
      <c r="H10" s="141"/>
    </row>
    <row r="11" customFormat="false" ht="27.75" hidden="false" customHeight="true" outlineLevel="0" collapsed="false">
      <c r="A11" s="142" t="s">
        <v>116</v>
      </c>
      <c r="B11" s="143"/>
      <c r="C11" s="144" t="n">
        <f aca="false">SUM(C6:C10)</f>
        <v>85</v>
      </c>
      <c r="D11" s="144" t="n">
        <f aca="false">SUM(D6:D10)</f>
        <v>0</v>
      </c>
      <c r="E11" s="144" t="n">
        <f aca="false">SUM(E6:E10)</f>
        <v>0</v>
      </c>
      <c r="F11" s="145" t="n">
        <f aca="false">SUM(F6:F10)</f>
        <v>0</v>
      </c>
      <c r="G11" s="146"/>
      <c r="H11" s="143"/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2026-03-21T13:03:22Z</dcterms:created>
  <dc:creator>openpyxl</dc:creator>
  <dc:description/>
  <dc:language>en-US</dc:language>
  <cp:lastModifiedBy/>
  <dcterms:modified xsi:type="dcterms:W3CDTF">2026-03-21T13:04:12Z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