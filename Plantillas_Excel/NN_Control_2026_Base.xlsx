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👥 Agentes" sheetId="1" state="visible" r:id="rId1"/>
    <sheet xmlns:r="http://schemas.openxmlformats.org/officeDocument/2006/relationships" name="🔥 Operaciones_Activas" sheetId="2" state="visible" r:id="rId2"/>
    <sheet xmlns:r="http://schemas.openxmlformats.org/officeDocument/2006/relationships" name="✅ Operaciones_Cerr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FF6200"/>
        <bgColor rgb="00FF62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8" customWidth="1" min="3" max="3"/>
    <col width="22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ID Agente</t>
        </is>
      </c>
      <c r="B1" s="1" t="inlineStr">
        <is>
          <t>Nombre</t>
        </is>
      </c>
      <c r="C1" s="1" t="inlineStr">
        <is>
          <t>Tipo Contrato</t>
        </is>
      </c>
      <c r="D1" s="1" t="inlineStr">
        <is>
          <t>Objetivo Mensual (PVM)</t>
        </is>
      </c>
      <c r="E1" s="1" t="inlineStr">
        <is>
          <t>Meses Activo</t>
        </is>
      </c>
      <c r="F1" s="1" t="inlineStr">
        <is>
          <t>Fecha Alta</t>
        </is>
      </c>
      <c r="G1" s="1" t="inlineStr">
        <is>
          <t>Estado</t>
        </is>
      </c>
    </row>
    <row r="2">
      <c r="A2" t="inlineStr">
        <is>
          <t>FEDE</t>
        </is>
      </c>
      <c r="B2" t="inlineStr">
        <is>
          <t>Federico Fontanals</t>
        </is>
      </c>
      <c r="C2" t="inlineStr">
        <is>
          <t>J5 - Agente Dinamizador</t>
        </is>
      </c>
      <c r="D2" t="n">
        <v>10291</v>
      </c>
      <c r="E2" t="n">
        <v>12</v>
      </c>
      <c r="F2" t="inlineStr">
        <is>
          <t>01/03/2026</t>
        </is>
      </c>
      <c r="G2" t="inlineStr">
        <is>
          <t>Activo</t>
        </is>
      </c>
    </row>
    <row r="3">
      <c r="A3" t="inlineStr">
        <is>
          <t>ROSIANE</t>
        </is>
      </c>
      <c r="B3" t="inlineStr">
        <is>
          <t>Rosiane</t>
        </is>
      </c>
      <c r="C3" t="inlineStr">
        <is>
          <t>Especial 3 meses</t>
        </is>
      </c>
      <c r="D3" t="n">
        <v>1633</v>
      </c>
      <c r="E3" t="n">
        <v>3</v>
      </c>
      <c r="F3" t="inlineStr">
        <is>
          <t>01/03/2026</t>
        </is>
      </c>
      <c r="G3" t="inlineStr">
        <is>
          <t>Activo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20" customWidth="1" min="3" max="3"/>
    <col width="30" customWidth="1" min="4" max="4"/>
    <col width="12" customWidth="1" min="5" max="5"/>
    <col width="14" customWidth="1" min="6" max="6"/>
    <col width="16" customWidth="1" min="7" max="7"/>
    <col width="14" customWidth="1" min="8" max="8"/>
    <col width="12" customWidth="1" min="9" max="9"/>
    <col width="14" customWidth="1" min="10" max="10"/>
    <col width="12" customWidth="1" min="11" max="11"/>
    <col width="16" customWidth="1" min="12" max="12"/>
    <col width="16" customWidth="1" min="13" max="13"/>
    <col width="30" customWidth="1" min="14" max="14"/>
  </cols>
  <sheetData>
    <row r="1">
      <c r="A1" s="2" t="inlineStr">
        <is>
          <t>ID</t>
        </is>
      </c>
      <c r="B1" s="2" t="inlineStr">
        <is>
          <t>Agente</t>
        </is>
      </c>
      <c r="C1" s="2" t="inlineStr">
        <is>
          <t>Cliente</t>
        </is>
      </c>
      <c r="D1" s="2" t="inlineStr">
        <is>
          <t>Producto NN</t>
        </is>
      </c>
      <c r="E1" s="2" t="inlineStr">
        <is>
          <t>Prima (€)</t>
        </is>
      </c>
      <c r="F1" s="2" t="inlineStr">
        <is>
          <t>Periodicidad</t>
        </is>
      </c>
      <c r="G1" s="2" t="inlineStr">
        <is>
          <t>Prima Anualizada</t>
        </is>
      </c>
      <c r="H1" s="2" t="inlineStr">
        <is>
          <t>PVM Generará</t>
        </is>
      </c>
      <c r="I1" s="2" t="inlineStr">
        <is>
          <t>¿Es Riesgo?</t>
        </is>
      </c>
      <c r="J1" s="2" t="inlineStr">
        <is>
          <t>Fecha Prevista</t>
        </is>
      </c>
      <c r="K1" s="2" t="inlineStr">
        <is>
          <t>Prob. Cierre</t>
        </is>
      </c>
      <c r="L1" s="2" t="inlineStr">
        <is>
          <t>¿Cierra Este Mes?</t>
        </is>
      </c>
      <c r="M1" s="2" t="inlineStr">
        <is>
          <t>Estado</t>
        </is>
      </c>
      <c r="N1" s="2" t="inlineStr">
        <is>
          <t>Notas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25" customWidth="1" min="3" max="3"/>
    <col width="30" customWidth="1" min="4" max="4"/>
    <col width="12" customWidth="1" min="5" max="5"/>
    <col width="14" customWidth="1" min="6" max="6"/>
    <col width="16" customWidth="1" min="7" max="7"/>
    <col width="14" customWidth="1" min="8" max="8"/>
    <col width="12" customWidth="1" min="9" max="9"/>
    <col width="14" customWidth="1" min="10" max="10"/>
    <col width="14" customWidth="1" min="11" max="11"/>
  </cols>
  <sheetData>
    <row r="1">
      <c r="A1" s="2" t="inlineStr">
        <is>
          <t>ID</t>
        </is>
      </c>
      <c r="B1" s="2" t="inlineStr">
        <is>
          <t>Agente</t>
        </is>
      </c>
      <c r="C1" s="2" t="inlineStr">
        <is>
          <t>Cliente</t>
        </is>
      </c>
      <c r="D1" s="2" t="inlineStr">
        <is>
          <t>Producto NN</t>
        </is>
      </c>
      <c r="E1" s="2" t="inlineStr">
        <is>
          <t>Prima (€)</t>
        </is>
      </c>
      <c r="F1" s="2" t="inlineStr">
        <is>
          <t>Periodicidad</t>
        </is>
      </c>
      <c r="G1" s="2" t="inlineStr">
        <is>
          <t>Prima Anualizada</t>
        </is>
      </c>
      <c r="H1" s="2" t="inlineStr">
        <is>
          <t>PVM Generado</t>
        </is>
      </c>
      <c r="I1" s="2" t="inlineStr">
        <is>
          <t>PVM Riesgo</t>
        </is>
      </c>
      <c r="J1" s="2" t="inlineStr">
        <is>
          <t>Fecha Firma</t>
        </is>
      </c>
      <c r="K1" s="2" t="inlineStr">
        <is>
          <t>Mes Cierre</t>
        </is>
      </c>
    </row>
    <row r="2">
      <c r="A2" t="inlineStr">
        <is>
          <t>001</t>
        </is>
      </c>
      <c r="B2" t="inlineStr">
        <is>
          <t>FEDE</t>
        </is>
      </c>
      <c r="C2" t="inlineStr">
        <is>
          <t>Cirilo Jorques Jorques</t>
        </is>
      </c>
      <c r="D2" t="inlineStr">
        <is>
          <t>Salud Completo Copago</t>
        </is>
      </c>
      <c r="E2" t="n">
        <v>147.62</v>
      </c>
      <c r="F2" t="inlineStr">
        <is>
          <t>Mensual</t>
        </is>
      </c>
      <c r="G2">
        <f>E2*12</f>
        <v/>
      </c>
      <c r="H2">
        <f>G2*2</f>
        <v/>
      </c>
      <c r="I2">
        <f>H2</f>
        <v/>
      </c>
      <c r="J2" t="inlineStr">
        <is>
          <t>12/03/2026</t>
        </is>
      </c>
      <c r="K2" t="inlineStr">
        <is>
          <t>Marzo 2026</t>
        </is>
      </c>
    </row>
    <row r="3">
      <c r="A3" t="inlineStr">
        <is>
          <t>002</t>
        </is>
      </c>
      <c r="B3" t="inlineStr">
        <is>
          <t>FEDE</t>
        </is>
      </c>
      <c r="C3" t="inlineStr">
        <is>
          <t>Cirilo Jorques Jorques</t>
        </is>
      </c>
      <c r="D3" t="inlineStr">
        <is>
          <t>Contigo Familia</t>
        </is>
      </c>
      <c r="E3" t="n">
        <v>142.98</v>
      </c>
      <c r="F3" t="inlineStr">
        <is>
          <t>Anual</t>
        </is>
      </c>
      <c r="G3">
        <f>E3*1</f>
        <v/>
      </c>
      <c r="H3">
        <f>G3*4</f>
        <v/>
      </c>
      <c r="I3">
        <f>H3</f>
        <v/>
      </c>
      <c r="J3" t="inlineStr">
        <is>
          <t>11/03/2026</t>
        </is>
      </c>
      <c r="K3" t="inlineStr">
        <is>
          <t>Marzo 2026</t>
        </is>
      </c>
    </row>
    <row r="4">
      <c r="A4" t="inlineStr">
        <is>
          <t>003</t>
        </is>
      </c>
      <c r="B4" t="inlineStr">
        <is>
          <t>FEDE</t>
        </is>
      </c>
      <c r="C4" t="inlineStr">
        <is>
          <t>Salvador Costa Arostegui</t>
        </is>
      </c>
      <c r="D4" t="inlineStr">
        <is>
          <t>Salud Completo</t>
        </is>
      </c>
      <c r="E4" t="n">
        <v>223.16</v>
      </c>
      <c r="F4" t="inlineStr">
        <is>
          <t>Mensual</t>
        </is>
      </c>
      <c r="G4">
        <f>E4*12</f>
        <v/>
      </c>
      <c r="H4">
        <f>G4*1.5</f>
        <v/>
      </c>
      <c r="I4">
        <f>H4</f>
        <v/>
      </c>
      <c r="J4" t="inlineStr">
        <is>
          <t>26/03/2026</t>
        </is>
      </c>
      <c r="K4" t="inlineStr">
        <is>
          <t>Marzo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2026-04-21T12:25:15Z</dcterms:created>
  <dcterms:modified xmlns:dcterms="http://purl.org/dc/terms/" xmlns:xsi="http://www.w3.org/2001/XMLSchema-instance" xsi:type="dcterms:W3CDTF">2026-04-21T12:25:16Z</dcterms:modified>
</cp:coreProperties>
</file>