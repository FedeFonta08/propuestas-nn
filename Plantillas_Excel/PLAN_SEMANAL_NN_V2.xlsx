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DASHBOARD DINAMIZADOR" sheetId="1" state="visible" r:id="rId1"/>
    <sheet xmlns:r="http://schemas.openxmlformats.org/officeDocument/2006/relationships" name="📋 PLAN SEMANAL" sheetId="2" state="visible" r:id="rId2"/>
    <sheet xmlns:r="http://schemas.openxmlformats.org/officeDocument/2006/relationships" name="📊 DASHBOARD ANTONIO" sheetId="3" state="visible" r:id="rId3"/>
    <sheet xmlns:r="http://schemas.openxmlformats.org/officeDocument/2006/relationships" name="👥 PLANTILLA AGENTES" sheetId="4" state="visible" r:id="rId4"/>
    <sheet xmlns:r="http://schemas.openxmlformats.org/officeDocument/2006/relationships" name="🏆 CONSOLIDADO EQUIPO" sheetId="5" state="visible" r:id="rId5"/>
  </sheets>
  <definedNames>
    <definedName name="_xlnm._FilterDatabase" localSheetId="1" hidden="1">'📋 PLAN SEMANAL'!$A$19:$H$29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4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A1A2E"/>
      <sz val="9"/>
    </font>
    <font>
      <name val="Arial"/>
      <charset val="1"/>
      <family val="0"/>
      <b val="1"/>
      <color rgb="FFF4D03F"/>
      <sz val="10"/>
    </font>
    <font>
      <name val="Arial"/>
      <charset val="1"/>
      <family val="0"/>
      <color rgb="FF1A1A2E"/>
      <sz val="10"/>
    </font>
    <font>
      <name val="Arial"/>
      <charset val="1"/>
      <family val="0"/>
      <b val="1"/>
      <color rgb="FFFF6B35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A1A2E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E8449"/>
      <sz val="10"/>
    </font>
    <font>
      <name val="Arial"/>
      <charset val="1"/>
      <family val="0"/>
      <color rgb="FF1A1A2E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2E86C1"/>
      <sz val="10"/>
    </font>
    <font>
      <name val="Arial"/>
      <charset val="1"/>
      <family val="0"/>
      <b val="1"/>
      <color rgb="FF1A1A2E"/>
      <sz val="10"/>
    </font>
    <font>
      <name val="Arial"/>
      <charset val="1"/>
      <family val="0"/>
      <b val="1"/>
      <color rgb="FF2E86C1"/>
      <sz val="13"/>
    </font>
    <font>
      <name val="Arial"/>
      <charset val="1"/>
      <family val="0"/>
      <b val="1"/>
      <color rgb="FF7D3C98"/>
      <sz val="13"/>
    </font>
    <font>
      <name val="Arial"/>
      <charset val="1"/>
      <family val="0"/>
      <b val="1"/>
      <color rgb="FF1E8449"/>
      <sz val="13"/>
    </font>
    <font>
      <name val="Arial"/>
      <charset val="1"/>
      <family val="0"/>
      <b val="1"/>
      <color rgb="FFFF6B35"/>
      <sz val="13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BBBBBB"/>
      <sz val="8"/>
    </font>
    <font>
      <name val="Arial"/>
      <charset val="1"/>
      <family val="0"/>
      <b val="1"/>
      <color rgb="FFFFFFFF"/>
      <sz val="20"/>
    </font>
    <font>
      <name val="Arial"/>
      <charset val="1"/>
      <family val="0"/>
      <i val="1"/>
      <color rgb="FFAAAAAA"/>
      <sz val="8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1E8449"/>
      <sz val="9"/>
    </font>
    <font>
      <name val="Arial"/>
      <charset val="1"/>
      <family val="0"/>
      <b val="1"/>
      <color rgb="FF0D1B2A"/>
      <sz val="11"/>
    </font>
    <font>
      <name val="Arial"/>
      <charset val="1"/>
      <family val="0"/>
      <b val="1"/>
      <color rgb="FF1A1A2E"/>
      <sz val="11"/>
    </font>
    <font>
      <name val="Arial"/>
      <charset val="1"/>
      <family val="0"/>
      <b val="1"/>
      <color rgb="FFFF6B35"/>
      <sz val="12"/>
    </font>
    <font>
      <name val="Arial"/>
      <charset val="1"/>
      <family val="0"/>
      <b val="1"/>
      <color rgb="FF1E8449"/>
      <sz val="9"/>
    </font>
    <font>
      <name val="Arial"/>
      <charset val="1"/>
      <family val="0"/>
      <b val="1"/>
      <color rgb="FFFFFFFF"/>
      <sz val="13"/>
    </font>
    <font>
      <name val="Arial"/>
      <b val="1"/>
      <color rgb="00FF6600"/>
      <sz val="16"/>
    </font>
    <font>
      <name val="Arial"/>
      <color rgb="00666666"/>
      <sz val="10"/>
    </font>
    <font>
      <name val="Arial"/>
      <b val="1"/>
      <color rgb="00FFFFFF"/>
      <sz val="14"/>
    </font>
    <font>
      <name val="Arial"/>
      <b val="1"/>
      <color rgb="00000000"/>
      <sz val="12"/>
    </font>
    <font>
      <name val="Arial"/>
      <b val="1"/>
      <color rgb="00FF66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DC3545"/>
      <sz val="11"/>
    </font>
    <font>
      <name val="Arial"/>
      <color rgb="0028A745"/>
      <sz val="11"/>
    </font>
    <font>
      <name val="Arial"/>
      <b val="1"/>
      <color rgb="00000000"/>
      <sz val="14"/>
    </font>
    <font>
      <name val="Arial"/>
      <b val="1"/>
      <color rgb="00FF6600"/>
      <sz val="11"/>
    </font>
    <font>
      <name val="Arial"/>
      <color rgb="000066CC"/>
      <sz val="11"/>
    </font>
  </fonts>
  <fills count="33">
    <fill>
      <patternFill/>
    </fill>
    <fill>
      <patternFill patternType="gray125"/>
    </fill>
    <fill>
      <patternFill patternType="solid">
        <fgColor rgb="FF0D1B2A"/>
        <bgColor rgb="FF0A1520"/>
      </patternFill>
    </fill>
    <fill>
      <patternFill patternType="solid">
        <fgColor rgb="FF0A1520"/>
        <bgColor rgb="FF0D1B2A"/>
      </patternFill>
    </fill>
    <fill>
      <patternFill patternType="solid">
        <fgColor rgb="FFF4F6F7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FFFFFF"/>
        <bgColor rgb="FFFFFDE7"/>
      </patternFill>
    </fill>
    <fill>
      <patternFill patternType="solid">
        <fgColor rgb="FF2E86C1"/>
        <bgColor rgb="FF008080"/>
      </patternFill>
    </fill>
    <fill>
      <patternFill patternType="solid">
        <fgColor rgb="FF1A5276"/>
        <bgColor rgb="FF145A32"/>
      </patternFill>
    </fill>
    <fill>
      <patternFill patternType="solid">
        <fgColor rgb="FFE8F4FD"/>
        <bgColor rgb="FFEBF5FB"/>
      </patternFill>
    </fill>
    <fill>
      <patternFill patternType="solid">
        <fgColor rgb="FFD6EAF8"/>
        <bgColor rgb="FFD1F2EB"/>
      </patternFill>
    </fill>
    <fill>
      <patternFill patternType="solid">
        <fgColor rgb="FFEBF5FB"/>
        <bgColor rgb="FFE8F4FD"/>
      </patternFill>
    </fill>
    <fill>
      <patternFill patternType="solid">
        <fgColor rgb="FFD1F2EB"/>
        <bgColor rgb="FFD5F5E3"/>
      </patternFill>
    </fill>
    <fill>
      <patternFill patternType="solid">
        <fgColor rgb="FFFF6B35"/>
        <bgColor rgb="FFFF9900"/>
      </patternFill>
    </fill>
    <fill>
      <patternFill patternType="solid">
        <fgColor rgb="FFCC4400"/>
        <bgColor rgb="FFC0392B"/>
      </patternFill>
    </fill>
    <fill>
      <patternFill patternType="solid">
        <fgColor rgb="FFE8F5E9"/>
        <bgColor rgb="FFE8F8F0"/>
      </patternFill>
    </fill>
    <fill>
      <patternFill patternType="solid">
        <fgColor rgb="FF1E8449"/>
        <bgColor rgb="FF008080"/>
      </patternFill>
    </fill>
    <fill>
      <patternFill patternType="solid">
        <fgColor rgb="FF145A32"/>
        <bgColor rgb="FF1A5276"/>
      </patternFill>
    </fill>
    <fill>
      <patternFill patternType="solid">
        <fgColor rgb="FFE8F8F0"/>
        <bgColor rgb="FFE8F5E9"/>
      </patternFill>
    </fill>
    <fill>
      <patternFill patternType="solid">
        <fgColor rgb="FFFEF9E7"/>
        <bgColor rgb="FFFFFDE7"/>
      </patternFill>
    </fill>
    <fill>
      <patternFill patternType="solid">
        <fgColor rgb="FFF5EEF8"/>
        <bgColor rgb="FFF4F6F7"/>
      </patternFill>
    </fill>
    <fill>
      <patternFill patternType="solid">
        <fgColor rgb="FFFDF2E9"/>
        <bgColor rgb="FFFEF9E7"/>
      </patternFill>
    </fill>
    <fill>
      <patternFill patternType="solid">
        <fgColor rgb="FF1A1A2E"/>
        <bgColor rgb="FF0D1B2A"/>
      </patternFill>
    </fill>
    <fill>
      <patternFill patternType="solid">
        <fgColor rgb="FF7D3C98"/>
        <bgColor rgb="FF666699"/>
      </patternFill>
    </fill>
    <fill>
      <patternFill patternType="solid">
        <fgColor rgb="FFC0392B"/>
        <bgColor rgb="FFCC4400"/>
      </patternFill>
    </fill>
    <fill>
      <patternFill patternType="solid">
        <fgColor rgb="FF1A0A2E"/>
        <bgColor rgb="FF0A0A1A"/>
      </patternFill>
    </fill>
    <fill>
      <patternFill patternType="solid">
        <fgColor rgb="FF0A0A1A"/>
        <bgColor rgb="FF0A1520"/>
      </patternFill>
    </fill>
    <fill>
      <patternFill patternType="solid">
        <fgColor rgb="FFFFF3CD"/>
        <bgColor rgb="FFFDF2E9"/>
      </patternFill>
    </fill>
    <fill>
      <patternFill patternType="solid">
        <fgColor rgb="FFFFE5B0"/>
        <bgColor rgb="FFFFF3CD"/>
      </patternFill>
    </fill>
    <fill>
      <patternFill patternType="solid">
        <fgColor rgb="FFD5F5E3"/>
        <bgColor rgb="FFD1F2EB"/>
      </patternFill>
    </fill>
    <fill>
      <patternFill patternType="solid">
        <fgColor rgb="00FF6600"/>
        <bgColor rgb="00FF6600"/>
      </patternFill>
    </fill>
    <fill>
      <patternFill patternType="solid">
        <fgColor rgb="00FFFF00"/>
        <bgColor rgb="00FFFF00"/>
      </patternFill>
    </fill>
    <fill>
      <patternFill patternType="solid">
        <fgColor rgb="00F0F0F0"/>
        <bgColor rgb="00F0F0F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4" fontId="10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4" fontId="17" fillId="1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6" fillId="16" borderId="0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left" vertical="center"/>
    </xf>
    <xf numFmtId="0" fontId="18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15" fillId="21" borderId="1" applyAlignment="1" pivotButton="0" quotePrefix="0" xfId="0">
      <alignment horizontal="left" vertical="center" wrapText="1"/>
    </xf>
    <xf numFmtId="0" fontId="6" fillId="22" borderId="0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3" fontId="20" fillId="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3" fontId="21" fillId="5" borderId="1" applyAlignment="1" pivotButton="0" quotePrefix="0" xfId="0">
      <alignment horizontal="center" vertical="center"/>
    </xf>
    <xf numFmtId="3" fontId="22" fillId="5" borderId="1" applyAlignment="1" pivotButton="0" quotePrefix="0" xfId="0">
      <alignment horizontal="center" vertical="center"/>
    </xf>
    <xf numFmtId="4" fontId="23" fillId="5" borderId="1" applyAlignment="1" pivotButton="0" quotePrefix="0" xfId="0">
      <alignment horizontal="center" vertical="center"/>
    </xf>
    <xf numFmtId="4" fontId="22" fillId="5" borderId="1" applyAlignment="1" pivotButton="0" quotePrefix="0" xfId="0">
      <alignment horizontal="center" vertical="center"/>
    </xf>
    <xf numFmtId="164" fontId="22" fillId="5" borderId="1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2" borderId="0" applyAlignment="1" pivotButton="0" quotePrefix="0" xfId="0">
      <alignment horizontal="center" vertical="bottom"/>
    </xf>
    <xf numFmtId="0" fontId="25" fillId="16" borderId="0" applyAlignment="1" pivotButton="0" quotePrefix="0" xfId="0">
      <alignment horizontal="center" vertical="bottom"/>
    </xf>
    <xf numFmtId="0" fontId="25" fillId="7" borderId="0" applyAlignment="1" pivotButton="0" quotePrefix="0" xfId="0">
      <alignment horizontal="center" vertical="bottom"/>
    </xf>
    <xf numFmtId="0" fontId="25" fillId="13" borderId="0" applyAlignment="1" pivotButton="0" quotePrefix="0" xfId="0">
      <alignment horizontal="center" vertical="bottom"/>
    </xf>
    <xf numFmtId="0" fontId="26" fillId="22" borderId="0" applyAlignment="1" pivotButton="0" quotePrefix="0" xfId="0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center" vertical="top"/>
    </xf>
    <xf numFmtId="0" fontId="27" fillId="16" borderId="0" applyAlignment="1" pivotButton="0" quotePrefix="0" xfId="0">
      <alignment horizontal="center" vertical="top"/>
    </xf>
    <xf numFmtId="0" fontId="27" fillId="7" borderId="0" applyAlignment="1" pivotButton="0" quotePrefix="0" xfId="0">
      <alignment horizontal="center" vertical="top"/>
    </xf>
    <xf numFmtId="0" fontId="27" fillId="13" borderId="0" applyAlignment="1" pivotButton="0" quotePrefix="0" xfId="0">
      <alignment horizontal="center" vertical="top"/>
    </xf>
    <xf numFmtId="0" fontId="25" fillId="23" borderId="0" applyAlignment="1" pivotButton="0" quotePrefix="0" xfId="0">
      <alignment horizontal="center" vertical="bottom"/>
    </xf>
    <xf numFmtId="0" fontId="25" fillId="24" borderId="0" applyAlignment="1" pivotButton="0" quotePrefix="0" xfId="0">
      <alignment horizontal="center" vertical="bottom"/>
    </xf>
    <xf numFmtId="0" fontId="26" fillId="23" borderId="0" applyAlignment="1" pivotButton="0" quotePrefix="0" xfId="0">
      <alignment horizontal="center" vertical="center"/>
    </xf>
    <xf numFmtId="4" fontId="26" fillId="24" borderId="0" applyAlignment="1" pivotButton="0" quotePrefix="0" xfId="0">
      <alignment horizontal="center" vertical="center"/>
    </xf>
    <xf numFmtId="4" fontId="26" fillId="16" borderId="0" applyAlignment="1" pivotButton="0" quotePrefix="0" xfId="0">
      <alignment horizontal="center" vertical="center"/>
    </xf>
    <xf numFmtId="164" fontId="26" fillId="16" borderId="0" applyAlignment="1" pivotButton="0" quotePrefix="0" xfId="0">
      <alignment horizontal="center" vertical="center"/>
    </xf>
    <xf numFmtId="0" fontId="27" fillId="23" borderId="0" applyAlignment="1" pivotButton="0" quotePrefix="0" xfId="0">
      <alignment horizontal="center" vertical="top"/>
    </xf>
    <xf numFmtId="0" fontId="27" fillId="24" borderId="0" applyAlignment="1" pivotButton="0" quotePrefix="0" xfId="0">
      <alignment horizontal="center" vertical="top"/>
    </xf>
    <xf numFmtId="0" fontId="17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4" fontId="28" fillId="13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28" fillId="23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center" vertical="bottom"/>
    </xf>
    <xf numFmtId="0" fontId="6" fillId="2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30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30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5" fillId="26" borderId="0" applyAlignment="1" pivotButton="0" quotePrefix="0" xfId="0">
      <alignment horizontal="center" vertical="bottom"/>
    </xf>
    <xf numFmtId="0" fontId="11" fillId="22" borderId="2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left" vertical="center"/>
    </xf>
    <xf numFmtId="0" fontId="12" fillId="27" borderId="1" applyAlignment="1" pivotButton="0" quotePrefix="0" xfId="0">
      <alignment horizontal="left" vertical="center"/>
    </xf>
    <xf numFmtId="0" fontId="31" fillId="27" borderId="1" applyAlignment="1" pivotButton="0" quotePrefix="0" xfId="0">
      <alignment horizontal="center" vertical="center"/>
    </xf>
    <xf numFmtId="4" fontId="32" fillId="28" borderId="1" applyAlignment="1" pivotButton="0" quotePrefix="0" xfId="0">
      <alignment horizontal="center" vertical="center"/>
    </xf>
    <xf numFmtId="9" fontId="9" fillId="27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4" fontId="9" fillId="15" borderId="1" applyAlignment="1" pivotButton="0" quotePrefix="0" xfId="0">
      <alignment horizontal="center" vertical="center"/>
    </xf>
    <xf numFmtId="9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9" fontId="9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9" fontId="9" fillId="15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/>
    </xf>
    <xf numFmtId="9" fontId="9" fillId="20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0" fontId="12" fillId="22" borderId="1" applyAlignment="1" pivotButton="0" quotePrefix="0" xfId="0">
      <alignment horizontal="left" vertical="center"/>
    </xf>
    <xf numFmtId="0" fontId="34" fillId="22" borderId="1" applyAlignment="1" pivotButton="0" quotePrefix="0" xfId="0">
      <alignment horizontal="center" vertical="center"/>
    </xf>
    <xf numFmtId="4" fontId="34" fillId="13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  <xf numFmtId="0" fontId="0" fillId="0" borderId="0" pivotButton="0" quotePrefix="0" xfId="0"/>
    <xf numFmtId="0" fontId="35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37" fillId="3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1" fillId="31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10" fontId="43" fillId="0" borderId="0" applyAlignment="1" pivotButton="0" quotePrefix="0" xfId="0">
      <alignment horizontal="left" vertical="center"/>
    </xf>
    <xf numFmtId="0" fontId="44" fillId="32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4" fontId="10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4" fontId="17" fillId="1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6" fillId="16" borderId="0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left" vertical="center"/>
    </xf>
    <xf numFmtId="0" fontId="18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15" fillId="21" borderId="1" applyAlignment="1" pivotButton="0" quotePrefix="0" xfId="0">
      <alignment horizontal="left" vertical="center" wrapText="1"/>
    </xf>
    <xf numFmtId="0" fontId="6" fillId="22" borderId="0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3" fontId="20" fillId="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3" fontId="21" fillId="5" borderId="1" applyAlignment="1" pivotButton="0" quotePrefix="0" xfId="0">
      <alignment horizontal="center" vertical="center"/>
    </xf>
    <xf numFmtId="3" fontId="22" fillId="5" borderId="1" applyAlignment="1" pivotButton="0" quotePrefix="0" xfId="0">
      <alignment horizontal="center" vertical="center"/>
    </xf>
    <xf numFmtId="4" fontId="23" fillId="5" borderId="1" applyAlignment="1" pivotButton="0" quotePrefix="0" xfId="0">
      <alignment horizontal="center" vertical="center"/>
    </xf>
    <xf numFmtId="4" fontId="22" fillId="5" borderId="1" applyAlignment="1" pivotButton="0" quotePrefix="0" xfId="0">
      <alignment horizontal="center" vertical="center"/>
    </xf>
    <xf numFmtId="164" fontId="22" fillId="5" borderId="1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2" borderId="0" applyAlignment="1" pivotButton="0" quotePrefix="0" xfId="0">
      <alignment horizontal="center" vertical="bottom"/>
    </xf>
    <xf numFmtId="0" fontId="25" fillId="16" borderId="0" applyAlignment="1" pivotButton="0" quotePrefix="0" xfId="0">
      <alignment horizontal="center" vertical="bottom"/>
    </xf>
    <xf numFmtId="0" fontId="25" fillId="7" borderId="0" applyAlignment="1" pivotButton="0" quotePrefix="0" xfId="0">
      <alignment horizontal="center" vertical="bottom"/>
    </xf>
    <xf numFmtId="0" fontId="25" fillId="13" borderId="0" applyAlignment="1" pivotButton="0" quotePrefix="0" xfId="0">
      <alignment horizontal="center" vertical="bottom"/>
    </xf>
    <xf numFmtId="0" fontId="26" fillId="22" borderId="0" applyAlignment="1" pivotButton="0" quotePrefix="0" xfId="0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center" vertical="top"/>
    </xf>
    <xf numFmtId="0" fontId="27" fillId="16" borderId="0" applyAlignment="1" pivotButton="0" quotePrefix="0" xfId="0">
      <alignment horizontal="center" vertical="top"/>
    </xf>
    <xf numFmtId="0" fontId="27" fillId="7" borderId="0" applyAlignment="1" pivotButton="0" quotePrefix="0" xfId="0">
      <alignment horizontal="center" vertical="top"/>
    </xf>
    <xf numFmtId="0" fontId="27" fillId="13" borderId="0" applyAlignment="1" pivotButton="0" quotePrefix="0" xfId="0">
      <alignment horizontal="center" vertical="top"/>
    </xf>
    <xf numFmtId="0" fontId="25" fillId="23" borderId="0" applyAlignment="1" pivotButton="0" quotePrefix="0" xfId="0">
      <alignment horizontal="center" vertical="bottom"/>
    </xf>
    <xf numFmtId="0" fontId="25" fillId="24" borderId="0" applyAlignment="1" pivotButton="0" quotePrefix="0" xfId="0">
      <alignment horizontal="center" vertical="bottom"/>
    </xf>
    <xf numFmtId="0" fontId="26" fillId="23" borderId="0" applyAlignment="1" pivotButton="0" quotePrefix="0" xfId="0">
      <alignment horizontal="center" vertical="center"/>
    </xf>
    <xf numFmtId="4" fontId="26" fillId="24" borderId="0" applyAlignment="1" pivotButton="0" quotePrefix="0" xfId="0">
      <alignment horizontal="center" vertical="center"/>
    </xf>
    <xf numFmtId="4" fontId="26" fillId="16" borderId="0" applyAlignment="1" pivotButton="0" quotePrefix="0" xfId="0">
      <alignment horizontal="center" vertical="center"/>
    </xf>
    <xf numFmtId="164" fontId="26" fillId="16" borderId="0" applyAlignment="1" pivotButton="0" quotePrefix="0" xfId="0">
      <alignment horizontal="center" vertical="center"/>
    </xf>
    <xf numFmtId="0" fontId="27" fillId="23" borderId="0" applyAlignment="1" pivotButton="0" quotePrefix="0" xfId="0">
      <alignment horizontal="center" vertical="top"/>
    </xf>
    <xf numFmtId="0" fontId="27" fillId="24" borderId="0" applyAlignment="1" pivotButton="0" quotePrefix="0" xfId="0">
      <alignment horizontal="center" vertical="top"/>
    </xf>
    <xf numFmtId="0" fontId="17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4" fontId="28" fillId="13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28" fillId="23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center" vertical="bottom"/>
    </xf>
    <xf numFmtId="0" fontId="6" fillId="2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30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30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5" fillId="26" borderId="0" applyAlignment="1" pivotButton="0" quotePrefix="0" xfId="0">
      <alignment horizontal="center" vertical="bottom"/>
    </xf>
    <xf numFmtId="0" fontId="11" fillId="22" borderId="2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left" vertical="center"/>
    </xf>
    <xf numFmtId="0" fontId="12" fillId="27" borderId="1" applyAlignment="1" pivotButton="0" quotePrefix="0" xfId="0">
      <alignment horizontal="left" vertical="center"/>
    </xf>
    <xf numFmtId="0" fontId="31" fillId="27" borderId="1" applyAlignment="1" pivotButton="0" quotePrefix="0" xfId="0">
      <alignment horizontal="center" vertical="center"/>
    </xf>
    <xf numFmtId="4" fontId="32" fillId="28" borderId="1" applyAlignment="1" pivotButton="0" quotePrefix="0" xfId="0">
      <alignment horizontal="center" vertical="center"/>
    </xf>
    <xf numFmtId="9" fontId="9" fillId="27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4" fontId="9" fillId="15" borderId="1" applyAlignment="1" pivotButton="0" quotePrefix="0" xfId="0">
      <alignment horizontal="center" vertical="center"/>
    </xf>
    <xf numFmtId="9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9" fontId="9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9" fontId="9" fillId="15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/>
    </xf>
    <xf numFmtId="9" fontId="9" fillId="20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0" fontId="12" fillId="22" borderId="1" applyAlignment="1" pivotButton="0" quotePrefix="0" xfId="0">
      <alignment horizontal="left" vertical="center"/>
    </xf>
    <xf numFmtId="0" fontId="34" fillId="22" borderId="1" applyAlignment="1" pivotButton="0" quotePrefix="0" xfId="0">
      <alignment horizontal="center" vertical="center"/>
    </xf>
    <xf numFmtId="4" fontId="34" fillId="13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CC4400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1E844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45A32"/>
      <rgbColor rgb="FF1A0A2E"/>
      <rgbColor rgb="FF808000"/>
      <rgbColor rgb="FF800080"/>
      <rgbColor rgb="FF008080"/>
      <rgbColor rgb="FFBBBBBB"/>
      <rgbColor rgb="FF888888"/>
      <rgbColor rgb="FFE8F5E9"/>
      <rgbColor rgb="FF7D3C98"/>
      <rgbColor rgb="FFFFFDE7"/>
      <rgbColor rgb="FFD1F2EB"/>
      <rgbColor rgb="FF660066"/>
      <rgbColor rgb="FFF4F6F7"/>
      <rgbColor rgb="FF0066CC"/>
      <rgbColor rgb="FFCCCCCC"/>
      <rgbColor rgb="FF0A0A1A"/>
      <rgbColor rgb="FFFF00FF"/>
      <rgbColor rgb="FFFDF2E9"/>
      <rgbColor rgb="FF00FFFF"/>
      <rgbColor rgb="FF800080"/>
      <rgbColor rgb="FF800000"/>
      <rgbColor rgb="FF008080"/>
      <rgbColor rgb="FF0000FF"/>
      <rgbColor rgb="FF00CCFF"/>
      <rgbColor rgb="FFE8F8F0"/>
      <rgbColor rgb="FFD5F5E3"/>
      <rgbColor rgb="FFFFF3CD"/>
      <rgbColor rgb="FFD6EAF8"/>
      <rgbColor rgb="FFF5EEF8"/>
      <rgbColor rgb="FFE8F4FD"/>
      <rgbColor rgb="FFFFE5B0"/>
      <rgbColor rgb="FF2E86C1"/>
      <rgbColor rgb="FF33CCCC"/>
      <rgbColor rgb="FFEBF5FB"/>
      <rgbColor rgb="FFF4D03F"/>
      <rgbColor rgb="FFFF9900"/>
      <rgbColor rgb="FFFF6B35"/>
      <rgbColor rgb="FF666699"/>
      <rgbColor rgb="FFAAAAAA"/>
      <rgbColor rgb="FF1A5276"/>
      <rgbColor rgb="FF1E8449"/>
      <rgbColor rgb="FF0D1B2A"/>
      <rgbColor rgb="FF0A1520"/>
      <rgbColor rgb="FFC0392B"/>
      <rgbColor rgb="FFCC4400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4"/>
  <sheetViews>
    <sheetView workbookViewId="0">
      <selection activeCell="A1" sqref="A1"/>
    </sheetView>
  </sheetViews>
  <sheetFormatPr baseColWidth="8" defaultRowHeight="15"/>
  <cols>
    <col width="5" customWidth="1" style="147" min="1" max="1"/>
    <col width="50" customWidth="1" style="147" min="2" max="2"/>
    <col width="35" customWidth="1" style="147" min="3" max="3"/>
    <col width="20" customWidth="1" style="147" min="4" max="4"/>
  </cols>
  <sheetData>
    <row r="1" ht="30" customHeight="1" s="147">
      <c r="B1" s="148" t="inlineStr">
        <is>
          <t>📊  DASHBOARD DINAMIZADOR — Federico Fontanals</t>
        </is>
      </c>
    </row>
    <row r="2" ht="20" customHeight="1" s="147">
      <c r="B2" s="149" t="inlineStr">
        <is>
          <t>Punto Naranja Xàtiva · Sistema de Seguimiento Integral 2026</t>
        </is>
      </c>
    </row>
    <row r="4" ht="25" customHeight="1" s="147">
      <c r="B4" s="150" t="inlineStr">
        <is>
          <t>🎯  OBJETIVO ANUAL 2026</t>
        </is>
      </c>
    </row>
    <row r="6">
      <c r="B6" s="151" t="inlineStr">
        <is>
          <t>Meta PVM:</t>
        </is>
      </c>
      <c r="C6" s="152" t="inlineStr">
        <is>
          <t>10.291 pts</t>
        </is>
      </c>
    </row>
    <row r="7">
      <c r="B7" s="153" t="inlineStr">
        <is>
          <t>Acumulado a hoy:</t>
        </is>
      </c>
      <c r="C7" s="154" t="inlineStr">
        <is>
          <t>[Actualizar cada lunes]</t>
        </is>
      </c>
    </row>
    <row r="8">
      <c r="B8" s="153" t="inlineStr">
        <is>
          <t>Puntos que faltan:</t>
        </is>
      </c>
      <c r="C8" s="155">
        <f>C6-C7</f>
        <v/>
      </c>
    </row>
    <row r="9">
      <c r="B9" s="153" t="inlineStr">
        <is>
          <t>% Completado:</t>
        </is>
      </c>
      <c r="C9" s="156">
        <f>C7/C6</f>
        <v/>
      </c>
    </row>
    <row r="12" ht="25" customHeight="1" s="147">
      <c r="B12" s="157" t="inlineStr">
        <is>
          <t>📈  DESGLOSE DE PRODUCCIÓN</t>
        </is>
      </c>
    </row>
    <row r="14">
      <c r="B14" s="153" t="inlineStr">
        <is>
          <t>Puntos de mi producción directa:</t>
        </is>
      </c>
      <c r="C14" s="154" t="inlineStr">
        <is>
          <t>[Número]</t>
        </is>
      </c>
    </row>
    <row r="15">
      <c r="B15" s="153" t="inlineStr">
        <is>
          <t>Puntos de mis agentes:</t>
        </is>
      </c>
      <c r="C15" s="154" t="inlineStr">
        <is>
          <t>[Número]</t>
        </is>
      </c>
    </row>
    <row r="16">
      <c r="B16" s="153" t="inlineStr">
        <is>
          <t>Total:</t>
        </is>
      </c>
      <c r="C16" s="158">
        <f>C14+C15</f>
        <v/>
      </c>
    </row>
    <row r="19" ht="25" customHeight="1" s="147">
      <c r="B19" s="150" t="inlineStr">
        <is>
          <t>👥  MI EQUIPO DE AGENTES</t>
        </is>
      </c>
    </row>
    <row r="21">
      <c r="B21" s="153" t="inlineStr">
        <is>
          <t>Objetivo septiembre 2026:</t>
        </is>
      </c>
      <c r="C21" s="159" t="inlineStr">
        <is>
          <t>4-5 agentes operativos</t>
        </is>
      </c>
    </row>
    <row r="22">
      <c r="B22" s="153" t="inlineStr">
        <is>
          <t>Agentes activos a hoy:</t>
        </is>
      </c>
      <c r="C22" s="154" t="inlineStr">
        <is>
          <t>[Número - incluye a Rosiane]</t>
        </is>
      </c>
    </row>
    <row r="23">
      <c r="B23" s="153" t="inlineStr">
        <is>
          <t>Agentes que faltan:</t>
        </is>
      </c>
      <c r="C23" s="155">
        <f>5-C22</f>
        <v/>
      </c>
    </row>
    <row r="26" ht="25" customHeight="1" s="147">
      <c r="B26" s="157" t="inlineStr">
        <is>
          <t>🚦  SEGUIMIENTO SEMÁFORO</t>
        </is>
      </c>
    </row>
    <row r="28">
      <c r="B28" s="153" t="inlineStr">
        <is>
          <t>Mi nota semáforo actual:</t>
        </is>
      </c>
      <c r="C28" s="154" t="inlineStr">
        <is>
          <t>[Verde / Ámbar / Rojo]</t>
        </is>
      </c>
    </row>
    <row r="29">
      <c r="B29" s="153" t="inlineStr">
        <is>
          <t>Bonificación objetivo:</t>
        </is>
      </c>
      <c r="C29" s="160" t="inlineStr">
        <is>
          <t>300€ al final del año</t>
        </is>
      </c>
    </row>
    <row r="32" ht="25" customHeight="1" s="147">
      <c r="B32" s="150" t="inlineStr">
        <is>
          <t>📞  ACTIVIDAD ESTA SEMANA</t>
        </is>
      </c>
    </row>
    <row r="34">
      <c r="B34" s="153" t="inlineStr">
        <is>
          <t>Llamadas realizadas:</t>
        </is>
      </c>
      <c r="C34" s="154" t="inlineStr">
        <is>
          <t>[Número]</t>
        </is>
      </c>
    </row>
    <row r="35">
      <c r="B35" s="153" t="inlineStr">
        <is>
          <t>Reuniones mantenidas:</t>
        </is>
      </c>
      <c r="C35" s="154" t="inlineStr">
        <is>
          <t>[Número]</t>
        </is>
      </c>
    </row>
    <row r="36">
      <c r="B36" s="153" t="inlineStr">
        <is>
          <t>Operaciones cerradas:</t>
        </is>
      </c>
      <c r="C36" s="154" t="inlineStr">
        <is>
          <t>[Número]</t>
        </is>
      </c>
    </row>
    <row r="37">
      <c r="B37" s="153" t="inlineStr">
        <is>
          <t>Puntos generados semana:</t>
        </is>
      </c>
      <c r="C37" s="154" t="inlineStr">
        <is>
          <t>[Número]</t>
        </is>
      </c>
    </row>
    <row r="40" ht="25" customHeight="1" s="147">
      <c r="B40" s="157" t="inlineStr">
        <is>
          <t>🎯  RECRUITING ACTIVO — Método Ana Muñoz</t>
        </is>
      </c>
    </row>
    <row r="42">
      <c r="B42" s="153" t="inlineStr">
        <is>
          <t>Candidatos contactados esta semana:</t>
        </is>
      </c>
      <c r="C42" s="154" t="inlineStr">
        <is>
          <t>[Número]</t>
        </is>
      </c>
    </row>
    <row r="43">
      <c r="B43" s="153" t="inlineStr">
        <is>
          <t>Entrevistas programadas:</t>
        </is>
      </c>
      <c r="C43" s="154" t="inlineStr">
        <is>
          <t>[Número]</t>
        </is>
      </c>
    </row>
    <row r="44">
      <c r="B44" s="153" t="inlineStr">
        <is>
          <t>Incorporaciones previstas mes:</t>
        </is>
      </c>
      <c r="C44" s="154" t="inlineStr">
        <is>
          <t>[Número]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61" min="1" max="1"/>
    <col width="14" customWidth="1" style="161" min="2" max="7"/>
    <col width="20" customWidth="1" style="161" min="8" max="8"/>
  </cols>
  <sheetData>
    <row r="1" ht="43.5" customHeight="1" s="147">
      <c r="A1" s="162" t="inlineStr">
        <is>
          <t>📋  PLAN SEMANAL DE PRODUCCIÓN — NATIONALE-NEDERLANDEN XÀTIVA</t>
        </is>
      </c>
    </row>
    <row r="2" ht="18" customHeight="1" s="147">
      <c r="A2" s="163" t="inlineStr">
        <is>
          <t>Punto Naranja Xàtiva · Agente Dinamizador · Enviar a Antonio Morote cada lunes antes de las 9h</t>
        </is>
      </c>
    </row>
    <row r="3" ht="7.5" customHeight="1" s="147"/>
    <row r="4" ht="27.75" customHeight="1" s="147">
      <c r="A4" s="164" t="inlineStr">
        <is>
          <t>📅  DATOS DE LA SEMANA</t>
        </is>
      </c>
    </row>
    <row r="5" ht="21.75" customHeight="1" s="147">
      <c r="A5" s="165" t="inlineStr">
        <is>
          <t>Semana del</t>
        </is>
      </c>
      <c r="B5" s="166">
        <f>TEXT(TODAY(),"DD/MM/YYYY")</f>
        <v/>
      </c>
      <c r="C5" s="167" t="n"/>
      <c r="D5" s="168" t="n"/>
      <c r="E5" s="165" t="inlineStr">
        <is>
          <t>al</t>
        </is>
      </c>
      <c r="F5" s="169" t="n"/>
      <c r="G5" s="167" t="n"/>
      <c r="H5" s="168" t="n"/>
    </row>
    <row r="6" ht="21.75" customHeight="1" s="147">
      <c r="A6" s="170" t="inlineStr">
        <is>
          <t>Agente / Punto Naranja</t>
        </is>
      </c>
      <c r="B6" s="171" t="inlineStr">
        <is>
          <t>Nombre Agente Dinamizador — Xàtiva</t>
        </is>
      </c>
      <c r="C6" s="167" t="n"/>
      <c r="D6" s="168" t="n"/>
    </row>
    <row r="7" ht="21.75" customHeight="1" s="147">
      <c r="A7" s="165" t="inlineStr">
        <is>
          <t>Objetivo acumulado N-N (pts)</t>
        </is>
      </c>
      <c r="B7" s="172" t="n">
        <v>10291</v>
      </c>
      <c r="C7" s="167" t="n"/>
      <c r="D7" s="168" t="n"/>
      <c r="E7" s="165" t="inlineStr">
        <is>
          <t>Acumulado a hoy:</t>
        </is>
      </c>
      <c r="F7" s="173" t="n">
        <v>4051.92</v>
      </c>
      <c r="G7" s="167" t="n"/>
      <c r="H7" s="168" t="n"/>
    </row>
    <row r="8" ht="21.75" customHeight="1" s="147">
      <c r="A8" s="170" t="inlineStr">
        <is>
          <t>Pts que faltan</t>
        </is>
      </c>
      <c r="B8" s="172">
        <f>TEXT(TODAY(),"DD/MM/YYYY")</f>
        <v/>
      </c>
      <c r="C8" s="167" t="n"/>
      <c r="D8" s="168" t="n"/>
      <c r="E8" s="170" t="inlineStr">
        <is>
          <t>Días laborables semana:</t>
        </is>
      </c>
      <c r="F8" s="169" t="n">
        <v>5</v>
      </c>
      <c r="G8" s="167" t="n"/>
      <c r="H8" s="168" t="n"/>
    </row>
    <row r="9" ht="7.5" customHeight="1" s="147"/>
    <row r="10" ht="27.75" customHeight="1" s="147">
      <c r="A10" s="174" t="inlineStr">
        <is>
          <t>📞  ACTIVIDAD DIARIA PLANIFICADA</t>
        </is>
      </c>
    </row>
    <row r="11" ht="31.5" customHeight="1" s="147">
      <c r="A11" s="175" t="n"/>
      <c r="B11" s="175" t="inlineStr">
        <is>
          <t>LUNES</t>
        </is>
      </c>
      <c r="C11" s="175" t="inlineStr">
        <is>
          <t>MARTES</t>
        </is>
      </c>
      <c r="D11" s="175" t="inlineStr">
        <is>
          <t>MIÉRCOLES</t>
        </is>
      </c>
      <c r="E11" s="175" t="inlineStr">
        <is>
          <t>JUEVES</t>
        </is>
      </c>
      <c r="F11" s="175" t="inlineStr">
        <is>
          <t>VIERNES</t>
        </is>
      </c>
      <c r="G11" s="175" t="inlineStr">
        <is>
          <t>TOTAL
SEMANA</t>
        </is>
      </c>
      <c r="H11" s="175" t="inlineStr">
        <is>
          <t>NOTAS</t>
        </is>
      </c>
    </row>
    <row r="12" ht="21.75" customHeight="1" s="147">
      <c r="A12" s="176" t="inlineStr">
        <is>
          <t>📞 Llamadas previstas</t>
        </is>
      </c>
      <c r="B12" s="169" t="n">
        <v>17</v>
      </c>
      <c r="C12" s="169" t="n">
        <v>17</v>
      </c>
      <c r="D12" s="169" t="n">
        <v>17</v>
      </c>
      <c r="E12" s="169" t="n">
        <v>17</v>
      </c>
      <c r="F12" s="169" t="n">
        <v>17</v>
      </c>
      <c r="G12" s="177">
        <f>SUM(B13:F13)</f>
        <v/>
      </c>
      <c r="H12" s="178" t="n"/>
    </row>
    <row r="13" ht="21.75" customHeight="1" s="147">
      <c r="A13" s="179" t="inlineStr">
        <is>
          <t>👥 Contactos esperados</t>
        </is>
      </c>
      <c r="B13" s="169" t="n">
        <v>17</v>
      </c>
      <c r="C13" s="169" t="n">
        <v>17</v>
      </c>
      <c r="D13" s="169" t="n">
        <v>17</v>
      </c>
      <c r="E13" s="169" t="n">
        <v>17</v>
      </c>
      <c r="F13" s="169" t="n">
        <v>17</v>
      </c>
      <c r="G13" s="177">
        <f>SUM(B14:F14)</f>
        <v/>
      </c>
      <c r="H13" s="180" t="n"/>
    </row>
    <row r="14" ht="21.75" customHeight="1" s="147">
      <c r="A14" s="181" t="inlineStr">
        <is>
          <t>🤝 Reuniones previstas (10%)</t>
        </is>
      </c>
      <c r="B14" s="182" t="n">
        <v>17</v>
      </c>
      <c r="C14" s="182" t="n">
        <v>17</v>
      </c>
      <c r="D14" s="182" t="n">
        <v>17</v>
      </c>
      <c r="E14" s="182" t="n">
        <v>17</v>
      </c>
      <c r="F14" s="182" t="n">
        <v>17</v>
      </c>
      <c r="G14" s="177">
        <f>SUM(B14:F14)</f>
        <v/>
      </c>
      <c r="H14" s="183" t="n"/>
    </row>
    <row r="15" ht="21.75" customHeight="1" s="147">
      <c r="A15" s="184" t="inlineStr">
        <is>
          <t>✍️ Cierres esperados</t>
        </is>
      </c>
      <c r="B15" s="185">
        <f>ROUND(B13*0.1,0)</f>
        <v/>
      </c>
      <c r="C15" s="185">
        <f>ROUND(C13*0.1,0)</f>
        <v/>
      </c>
      <c r="D15" s="185">
        <f>ROUND(D13*0.1,0)</f>
        <v/>
      </c>
      <c r="E15" s="185">
        <f>ROUND(E13*0.1,0)</f>
        <v/>
      </c>
      <c r="F15" s="185">
        <f>ROUND(F13*0.1,0)</f>
        <v/>
      </c>
      <c r="G15" s="177">
        <f>SUM(B16:F16)</f>
        <v/>
      </c>
      <c r="H15" s="186" t="n"/>
    </row>
    <row r="17" ht="7.5" customHeight="1" s="147"/>
    <row r="18" ht="27.75" customHeight="1" s="147">
      <c r="A18" s="187" t="inlineStr">
        <is>
          <t>🔥  OPERACIONES CALIENTES — Previstas para cerrar esta semana</t>
        </is>
      </c>
    </row>
    <row r="19" ht="21.75" customHeight="1" s="147">
      <c r="A19" s="188" t="inlineStr">
        <is>
          <t>NOMBRE CLIENTE</t>
        </is>
      </c>
      <c r="B19" s="188" t="inlineStr">
        <is>
          <t>PRODUCTO NN</t>
        </is>
      </c>
      <c r="C19" s="188" t="inlineStr">
        <is>
          <t>FECHA PREVISTA</t>
        </is>
      </c>
      <c r="D19" s="188" t="inlineStr">
        <is>
          <t>PROB. CIERRE</t>
        </is>
      </c>
      <c r="E19" s="188" t="inlineStr">
        <is>
          <t>PTS ESTIMADOS</t>
        </is>
      </c>
      <c r="F19" s="188" t="inlineStr">
        <is>
          <t>ESTADO</t>
        </is>
      </c>
      <c r="G19" s="188" t="inlineStr">
        <is>
          <t>PUEBLO</t>
        </is>
      </c>
      <c r="H19" s="188" t="inlineStr">
        <is>
          <t>NOTAS</t>
        </is>
      </c>
    </row>
    <row r="20" ht="21.75" customHeight="1" s="147">
      <c r="A20" s="165" t="n"/>
      <c r="B20" s="189" t="n"/>
      <c r="C20" s="190" t="n"/>
      <c r="D20" s="190" t="n"/>
      <c r="E20" s="191" t="n"/>
      <c r="F20" s="192" t="n"/>
      <c r="G20" s="189" t="n"/>
      <c r="H20" s="193" t="n"/>
    </row>
    <row r="21" ht="21.75" customHeight="1" s="147">
      <c r="A21" s="170" t="n"/>
      <c r="B21" s="194" t="n"/>
      <c r="C21" s="190" t="n"/>
      <c r="D21" s="190" t="n"/>
      <c r="E21" s="191" t="n"/>
      <c r="F21" s="195" t="n"/>
      <c r="G21" s="194" t="n"/>
      <c r="H21" s="196" t="n"/>
    </row>
    <row r="22" ht="21.75" customHeight="1" s="147">
      <c r="A22" s="165" t="n"/>
      <c r="B22" s="189" t="n"/>
      <c r="C22" s="190" t="n"/>
      <c r="D22" s="190" t="n"/>
      <c r="E22" s="191" t="n"/>
      <c r="F22" s="192" t="n"/>
      <c r="G22" s="189" t="n"/>
      <c r="H22" s="193" t="n"/>
    </row>
    <row r="23" ht="21.75" customHeight="1" s="147">
      <c r="A23" s="170" t="n"/>
      <c r="B23" s="194" t="n"/>
      <c r="C23" s="190" t="n"/>
      <c r="D23" s="190" t="n"/>
      <c r="E23" s="191" t="n"/>
      <c r="F23" s="195" t="n"/>
      <c r="G23" s="194" t="n"/>
      <c r="H23" s="196" t="n"/>
    </row>
    <row r="24" ht="21.75" customHeight="1" s="147">
      <c r="A24" s="165" t="n"/>
      <c r="B24" s="189" t="n"/>
      <c r="C24" s="190" t="n"/>
      <c r="D24" s="190" t="n"/>
      <c r="E24" s="191" t="n"/>
      <c r="F24" s="192" t="n"/>
      <c r="G24" s="189" t="n"/>
      <c r="H24" s="193" t="n"/>
    </row>
    <row r="25" ht="21.75" customHeight="1" s="147">
      <c r="A25" s="170" t="n"/>
      <c r="B25" s="194" t="n"/>
      <c r="C25" s="190" t="n"/>
      <c r="D25" s="190" t="n"/>
      <c r="E25" s="191" t="n"/>
      <c r="F25" s="195" t="n"/>
      <c r="G25" s="194" t="n"/>
      <c r="H25" s="196" t="n"/>
    </row>
    <row r="26" ht="21.75" customHeight="1" s="147">
      <c r="A26" s="165" t="n"/>
      <c r="B26" s="189" t="n"/>
      <c r="C26" s="190" t="n"/>
      <c r="D26" s="190" t="n"/>
      <c r="E26" s="191" t="n"/>
      <c r="F26" s="192" t="n"/>
      <c r="G26" s="189" t="n"/>
      <c r="H26" s="193" t="n"/>
    </row>
    <row r="27" ht="21.75" customHeight="1" s="147">
      <c r="A27" s="170" t="n"/>
      <c r="B27" s="194" t="n"/>
      <c r="C27" s="190" t="n"/>
      <c r="D27" s="190" t="n"/>
      <c r="E27" s="191" t="n"/>
      <c r="F27" s="195" t="n"/>
      <c r="G27" s="194" t="n"/>
      <c r="H27" s="196" t="n"/>
    </row>
    <row r="28" ht="21.75" customHeight="1" s="147">
      <c r="A28" s="165" t="n"/>
      <c r="B28" s="189" t="n"/>
      <c r="C28" s="190" t="n"/>
      <c r="D28" s="190" t="n"/>
      <c r="E28" s="191" t="n"/>
      <c r="F28" s="192" t="n"/>
      <c r="G28" s="189" t="n"/>
      <c r="H28" s="193" t="n"/>
    </row>
    <row r="29" ht="21.75" customHeight="1" s="147">
      <c r="A29" s="170" t="n"/>
      <c r="B29" s="194" t="n"/>
      <c r="C29" s="190" t="n"/>
      <c r="D29" s="190" t="n"/>
      <c r="E29" s="191" t="n"/>
      <c r="F29" s="195" t="n"/>
      <c r="G29" s="194" t="n"/>
      <c r="H29" s="196" t="n"/>
    </row>
    <row r="30" ht="24" customHeight="1" s="147">
      <c r="A30" s="197" t="inlineStr">
        <is>
          <t>TOTALES PREVISTOS</t>
        </is>
      </c>
      <c r="B30" s="198" t="n"/>
      <c r="C30" s="198" t="n"/>
      <c r="D30" s="198" t="n"/>
      <c r="E30" s="199">
        <f>SUM(E20:E29)</f>
        <v/>
      </c>
      <c r="F30" s="200" t="n"/>
      <c r="G30" s="200" t="n"/>
      <c r="H30" s="200" t="n"/>
    </row>
    <row r="31" ht="7.5" customHeight="1" s="147"/>
    <row r="32" ht="27.75" customHeight="1" s="147">
      <c r="A32" s="201" t="inlineStr">
        <is>
          <t>💊  PRODUCTOS A TRABAJAR ESTA SEMANA</t>
        </is>
      </c>
    </row>
    <row r="33" ht="31.5" customHeight="1" s="147">
      <c r="A33" s="202" t="inlineStr">
        <is>
          <t>PRODUCTO</t>
        </is>
      </c>
      <c r="B33" s="202" t="inlineStr">
        <is>
          <t>CANDIDATOS
DISPONIBLES</t>
        </is>
      </c>
      <c r="C33" s="202" t="inlineStr">
        <is>
          <t>LLAMADAS
PLANIFICADAS</t>
        </is>
      </c>
      <c r="D33" s="202" t="inlineStr">
        <is>
          <t>REUNIONES
ESPERADAS</t>
        </is>
      </c>
      <c r="E33" s="202" t="inlineStr">
        <is>
          <t>CIERRES
ESPERADOS</t>
        </is>
      </c>
      <c r="F33" s="202" t="inlineStr">
        <is>
          <t>PTS ESTIMADOS</t>
        </is>
      </c>
      <c r="G33" s="202" t="inlineStr">
        <is>
          <t>PRIORIDAD</t>
        </is>
      </c>
      <c r="H33" s="202" t="inlineStr">
        <is>
          <t>OBSERVACIONES</t>
        </is>
      </c>
    </row>
    <row r="34" ht="21.75" customHeight="1" s="147">
      <c r="A34" s="203" t="inlineStr">
        <is>
          <t>💚 Plan Salud + Vida</t>
        </is>
      </c>
      <c r="B34" s="204" t="n">
        <v>503</v>
      </c>
      <c r="C34" s="169" t="n">
        <v>40</v>
      </c>
      <c r="D34" s="205">
        <f>ROUND(C35*0.1,0)</f>
        <v/>
      </c>
      <c r="E34" s="205">
        <f>ROUND(D35*0.4,0)</f>
        <v/>
      </c>
      <c r="F34" s="191" t="n"/>
      <c r="G34" s="206" t="inlineStr">
        <is>
          <t>🔥 URGENTE</t>
        </is>
      </c>
      <c r="H34" s="207" t="n"/>
    </row>
    <row r="35" ht="21.75" customHeight="1" s="147">
      <c r="A35" s="181" t="inlineStr">
        <is>
          <t>🏠 MiHogar Seguro</t>
        </is>
      </c>
      <c r="B35" s="208" t="n">
        <v>52</v>
      </c>
      <c r="C35" s="169" t="n">
        <v>15</v>
      </c>
      <c r="D35" s="182">
        <f>ROUND(C36*0.1,0)</f>
        <v/>
      </c>
      <c r="E35" s="182">
        <f>ROUND(D36*0.4,0)</f>
        <v/>
      </c>
      <c r="F35" s="191" t="n"/>
      <c r="G35" s="209" t="inlineStr">
        <is>
          <t>⭐ ALTA</t>
        </is>
      </c>
      <c r="H35" s="210" t="n"/>
    </row>
    <row r="36" ht="21.75" customHeight="1" s="147">
      <c r="A36" s="211" t="inlineStr">
        <is>
          <t>👴 Contigo Senior</t>
        </is>
      </c>
      <c r="B36" s="212" t="n">
        <v>171</v>
      </c>
      <c r="C36" s="169" t="n">
        <v>20</v>
      </c>
      <c r="D36" s="213">
        <f>ROUND(C37*0.1,0)</f>
        <v/>
      </c>
      <c r="E36" s="213">
        <f>ROUND(D37*0.4,0)</f>
        <v/>
      </c>
      <c r="F36" s="191" t="n"/>
      <c r="G36" s="214" t="inlineStr">
        <is>
          <t>⭐ ALTA</t>
        </is>
      </c>
      <c r="H36" s="215" t="n"/>
    </row>
    <row r="37" ht="21.75" customHeight="1" s="147">
      <c r="A37" s="216" t="inlineStr">
        <is>
          <t>👨‍👩‍👧 Contigo Familia</t>
        </is>
      </c>
      <c r="B37" s="217" t="n">
        <v>3</v>
      </c>
      <c r="C37" s="169" t="n">
        <v>5</v>
      </c>
      <c r="D37" s="218">
        <f>ROUND(C38*0.1,0)</f>
        <v/>
      </c>
      <c r="E37" s="218">
        <f>ROUND(D38*0.4,0)</f>
        <v/>
      </c>
      <c r="F37" s="191" t="n"/>
      <c r="G37" s="219" t="inlineStr">
        <is>
          <t>🟡 MEDIA</t>
        </is>
      </c>
      <c r="H37" s="220" t="n"/>
    </row>
    <row r="38" ht="21.75" customHeight="1" s="147">
      <c r="A38" s="221" t="inlineStr">
        <is>
          <t>💰 PPSA Autónomos</t>
        </is>
      </c>
      <c r="B38" s="222" t="n">
        <v>0</v>
      </c>
      <c r="C38" s="169" t="n">
        <v>5</v>
      </c>
      <c r="D38" s="223">
        <f>ROUND(C39*0.1,0)</f>
        <v/>
      </c>
      <c r="E38" s="223">
        <f>ROUND(D39*0.4,0)</f>
        <v/>
      </c>
      <c r="F38" s="191" t="n"/>
      <c r="G38" s="224" t="inlineStr">
        <is>
          <t>🟡 MEDIA</t>
        </is>
      </c>
      <c r="H38" s="225" t="n"/>
    </row>
    <row r="39" ht="7.5" customHeight="1" s="147"/>
    <row r="40" ht="27.75" customHeight="1" s="147">
      <c r="A40" s="226" t="inlineStr">
        <is>
          <t>📊  RESUMEN EJECUTIVO PARA ANTONIO MOROTE</t>
        </is>
      </c>
    </row>
    <row r="41" ht="24" customHeight="1" s="147">
      <c r="A41" s="227" t="inlineStr">
        <is>
          <t>Total llamadas planificadas semana</t>
        </is>
      </c>
      <c r="B41" s="167" t="n"/>
      <c r="C41" s="167" t="n"/>
      <c r="D41" s="168" t="n"/>
      <c r="E41" s="228">
        <f>G13</f>
        <v/>
      </c>
      <c r="F41" s="167" t="n"/>
      <c r="G41" s="167" t="n"/>
      <c r="H41" s="168" t="n"/>
    </row>
    <row r="42" ht="24" customHeight="1" s="147">
      <c r="A42" s="229" t="inlineStr">
        <is>
          <t>Total reuniones esperadas</t>
        </is>
      </c>
      <c r="B42" s="167" t="n"/>
      <c r="C42" s="167" t="n"/>
      <c r="D42" s="168" t="n"/>
      <c r="E42" s="230">
        <f>G15</f>
        <v/>
      </c>
      <c r="F42" s="167" t="n"/>
      <c r="G42" s="167" t="n"/>
      <c r="H42" s="168" t="n"/>
    </row>
    <row r="43" ht="24" customHeight="1" s="147">
      <c r="A43" s="227" t="inlineStr">
        <is>
          <t>Total cierres proyectados</t>
        </is>
      </c>
      <c r="B43" s="167" t="n"/>
      <c r="C43" s="167" t="n"/>
      <c r="D43" s="168" t="n"/>
      <c r="E43" s="231">
        <f>G16</f>
        <v/>
      </c>
      <c r="F43" s="167" t="n"/>
      <c r="G43" s="167" t="n"/>
      <c r="H43" s="168" t="n"/>
    </row>
    <row r="44" ht="24" customHeight="1" s="147">
      <c r="A44" s="229" t="inlineStr">
        <is>
          <t>Puntos N-N proyectados semana</t>
        </is>
      </c>
      <c r="B44" s="167" t="n"/>
      <c r="C44" s="167" t="n"/>
      <c r="D44" s="168" t="n"/>
      <c r="E44" s="232">
        <f>E30</f>
        <v/>
      </c>
      <c r="F44" s="167" t="n"/>
      <c r="G44" s="167" t="n"/>
      <c r="H44" s="168" t="n"/>
    </row>
    <row r="45" ht="24" customHeight="1" s="147">
      <c r="A45" s="227" t="inlineStr">
        <is>
          <t>Puntos acumulados + proyección</t>
        </is>
      </c>
      <c r="B45" s="167" t="n"/>
      <c r="C45" s="167" t="n"/>
      <c r="D45" s="168" t="n"/>
      <c r="E45" s="233">
        <f>IFERROR(E7+E30,E7)</f>
        <v/>
      </c>
      <c r="F45" s="167" t="n"/>
      <c r="G45" s="167" t="n"/>
      <c r="H45" s="168" t="n"/>
    </row>
    <row r="46" ht="24" customHeight="1" s="147">
      <c r="A46" s="229" t="inlineStr">
        <is>
          <t>% sobre objetivo total</t>
        </is>
      </c>
      <c r="B46" s="167" t="n"/>
      <c r="C46" s="167" t="n"/>
      <c r="D46" s="168" t="n"/>
      <c r="E46" s="234">
        <f>IFERROR(E45/C7,0)</f>
        <v/>
      </c>
      <c r="F46" s="167" t="n"/>
      <c r="G46" s="167" t="n"/>
      <c r="H46" s="168" t="n"/>
    </row>
  </sheetData>
  <autoFilter ref="A19:H29"/>
  <mergeCells count="26">
    <mergeCell ref="E45:H45"/>
    <mergeCell ref="F5:H5"/>
    <mergeCell ref="B8:D8"/>
    <mergeCell ref="F8:H8"/>
    <mergeCell ref="A43:D43"/>
    <mergeCell ref="A1:H1"/>
    <mergeCell ref="E41:H41"/>
    <mergeCell ref="A44:D44"/>
    <mergeCell ref="E43:H43"/>
    <mergeCell ref="B6:D6"/>
    <mergeCell ref="E42:H42"/>
    <mergeCell ref="A18:H18"/>
    <mergeCell ref="A45:D45"/>
    <mergeCell ref="B5:D5"/>
    <mergeCell ref="A2:H2"/>
    <mergeCell ref="E44:H44"/>
    <mergeCell ref="A41:D41"/>
    <mergeCell ref="A32:H32"/>
    <mergeCell ref="B7:D7"/>
    <mergeCell ref="A46:D46"/>
    <mergeCell ref="A4:H4"/>
    <mergeCell ref="A10:H10"/>
    <mergeCell ref="E46:H46"/>
    <mergeCell ref="F7:H7"/>
    <mergeCell ref="A42:D42"/>
    <mergeCell ref="A40:H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61" min="1" max="1"/>
    <col width="19" customWidth="1" style="161" min="2" max="8"/>
  </cols>
  <sheetData>
    <row r="1" ht="45.75" customHeight="1" s="147">
      <c r="A1" s="235" t="inlineStr">
        <is>
          <t>📊  INFORME SEMANAL DE PRODUCCIÓN — PUNTO NARANJA XÀTIVA</t>
        </is>
      </c>
    </row>
    <row r="2" ht="18" customHeight="1" s="147">
      <c r="A2" s="163" t="inlineStr">
        <is>
          <t>Agente Dinamizador (Punto Naranja) · Nationale-Nederlanden Xàtiva y Comarca La Costera</t>
        </is>
      </c>
    </row>
    <row r="3" ht="7.5" customHeight="1" s="147"/>
    <row r="4" ht="24" customHeight="1" s="147">
      <c r="A4" s="236" t="inlineStr">
        <is>
          <t>🎯 OBJETIVO TOTAL</t>
        </is>
      </c>
      <c r="C4" s="237" t="inlineStr">
        <is>
          <t>✅ ACUMULADO</t>
        </is>
      </c>
      <c r="E4" s="238" t="inlineStr">
        <is>
          <t>📞 LLAMADAS SEMANA</t>
        </is>
      </c>
      <c r="G4" s="239" t="inlineStr">
        <is>
          <t>✍️ CIERRES ESPERADOS</t>
        </is>
      </c>
    </row>
    <row r="5" ht="24" customHeight="1" s="147">
      <c r="A5" s="240">
        <f>'📋 PLAN SEMANAL'!C7</f>
        <v/>
      </c>
      <c r="C5" s="241">
        <f>'📋 PLAN SEMANAL'!E7</f>
        <v/>
      </c>
      <c r="E5" s="242">
        <f>'📋 PLAN SEMANAL'!G13</f>
        <v/>
      </c>
      <c r="G5" s="243">
        <f>'📋 PLAN SEMANAL'!G16</f>
        <v/>
      </c>
    </row>
    <row r="6" ht="24" customHeight="1" s="147">
      <c r="A6" s="244" t="inlineStr">
        <is>
          <t>Puntos N-N 2026</t>
        </is>
      </c>
      <c r="C6" s="245" t="inlineStr">
        <is>
          <t>39,4% conseguido</t>
        </is>
      </c>
      <c r="E6" s="246" t="inlineStr">
        <is>
          <t>Plan esta semana</t>
        </is>
      </c>
      <c r="G6" s="247" t="inlineStr">
        <is>
          <t>Proyección semana</t>
        </is>
      </c>
    </row>
    <row r="7" ht="7.5" customHeight="1" s="147"/>
    <row r="8" ht="24" customHeight="1" s="147">
      <c r="A8" s="248" t="inlineStr">
        <is>
          <t>🤝 REUNIONES SEMANA</t>
        </is>
      </c>
      <c r="C8" s="249" t="inlineStr">
        <is>
          <t>💶 PTS PROYECTADOS</t>
        </is>
      </c>
      <c r="E8" s="237" t="inlineStr">
        <is>
          <t>📈 ACUM+PROYECCIÓN</t>
        </is>
      </c>
      <c r="G8" s="237" t="inlineStr">
        <is>
          <t>% OBJETIVO</t>
        </is>
      </c>
    </row>
    <row r="9" ht="24" customHeight="1" s="147">
      <c r="A9" s="250">
        <f>'📋 PLAN SEMANAL'!G15</f>
        <v/>
      </c>
      <c r="C9" s="251">
        <f>'📋 PLAN SEMANAL'!E30</f>
        <v/>
      </c>
      <c r="E9" s="252">
        <f>'📋 PLAN SEMANAL'!E41+E42</f>
        <v/>
      </c>
      <c r="G9" s="253">
        <f>IFERROR(('📋 PLAN SEMANAL'!E7+'📋 PLAN SEMANAL'!E30)/'📋 PLAN SEMANAL'!C7,0)</f>
        <v/>
      </c>
    </row>
    <row r="10" ht="24" customHeight="1" s="147">
      <c r="A10" s="254" t="inlineStr">
        <is>
          <t>Tasa 10% llamadas</t>
        </is>
      </c>
      <c r="C10" s="255" t="inlineStr">
        <is>
          <t>Esta semana</t>
        </is>
      </c>
      <c r="E10" s="245" t="inlineStr">
        <is>
          <t>Si se cumple plan</t>
        </is>
      </c>
      <c r="G10" s="245" t="inlineStr">
        <is>
          <t>Si se cumple</t>
        </is>
      </c>
    </row>
    <row r="11" ht="7.5" customHeight="1" s="147"/>
    <row r="12" ht="27.75" customHeight="1" s="147">
      <c r="A12" s="256" t="inlineStr">
        <is>
          <t>🔥  OPERACIONES CALIENTES ESTA SEMANA</t>
        </is>
      </c>
    </row>
    <row r="13" ht="21.75" customHeight="1" s="147">
      <c r="A13" s="257" t="inlineStr">
        <is>
          <t>CLIENTE</t>
        </is>
      </c>
      <c r="B13" s="257" t="inlineStr">
        <is>
          <t>PRODUCTO</t>
        </is>
      </c>
      <c r="C13" s="257" t="inlineStr">
        <is>
          <t>FECHA FIRMA</t>
        </is>
      </c>
      <c r="D13" s="257" t="inlineStr">
        <is>
          <t>PROB. CIERRE</t>
        </is>
      </c>
      <c r="E13" s="257" t="inlineStr">
        <is>
          <t>PTS ESTIMADOS</t>
        </is>
      </c>
      <c r="F13" s="257" t="inlineStr">
        <is>
          <t>ESTADO</t>
        </is>
      </c>
      <c r="G13" s="257" t="inlineStr">
        <is>
          <t>PUEBLO</t>
        </is>
      </c>
      <c r="H13" s="257" t="inlineStr">
        <is>
          <t>NOTAS</t>
        </is>
      </c>
    </row>
    <row r="14" ht="21.75" customHeight="1" s="147">
      <c r="A14" s="165">
        <f>'📋 PLAN SEMANAL'!A20</f>
        <v/>
      </c>
      <c r="B14" s="189">
        <f>'📋 PLAN SEMANAL'!B20</f>
        <v/>
      </c>
      <c r="C14" s="258">
        <f>'📋 PLAN SEMANAL'!C20</f>
        <v/>
      </c>
      <c r="D14" s="258">
        <f>'📋 PLAN SEMANAL'!D20</f>
        <v/>
      </c>
      <c r="E14" s="259">
        <f>'📋 PLAN SEMANAL'!E20</f>
        <v/>
      </c>
      <c r="F14" s="258">
        <f>'📋 PLAN SEMANAL'!F20</f>
        <v/>
      </c>
      <c r="G14" s="189">
        <f>'📋 PLAN SEMANAL'!G20</f>
        <v/>
      </c>
      <c r="H14" s="189">
        <f>'📋 PLAN SEMANAL'!H20</f>
        <v/>
      </c>
    </row>
    <row r="15" ht="21.75" customHeight="1" s="147">
      <c r="A15" s="170">
        <f>'📋 PLAN SEMANAL'!A21</f>
        <v/>
      </c>
      <c r="B15" s="194">
        <f>'📋 PLAN SEMANAL'!B21</f>
        <v/>
      </c>
      <c r="C15" s="260">
        <f>'📋 PLAN SEMANAL'!C21</f>
        <v/>
      </c>
      <c r="D15" s="260">
        <f>'📋 PLAN SEMANAL'!D21</f>
        <v/>
      </c>
      <c r="E15" s="259">
        <f>'📋 PLAN SEMANAL'!E21</f>
        <v/>
      </c>
      <c r="F15" s="260">
        <f>'📋 PLAN SEMANAL'!F21</f>
        <v/>
      </c>
      <c r="G15" s="194">
        <f>'📋 PLAN SEMANAL'!G21</f>
        <v/>
      </c>
      <c r="H15" s="194">
        <f>'📋 PLAN SEMANAL'!H21</f>
        <v/>
      </c>
    </row>
    <row r="16" ht="21.75" customHeight="1" s="147">
      <c r="A16" s="165">
        <f>'📋 PLAN SEMANAL'!A22</f>
        <v/>
      </c>
      <c r="B16" s="189">
        <f>'📋 PLAN SEMANAL'!B22</f>
        <v/>
      </c>
      <c r="C16" s="258">
        <f>'📋 PLAN SEMANAL'!C22</f>
        <v/>
      </c>
      <c r="D16" s="258">
        <f>'📋 PLAN SEMANAL'!D22</f>
        <v/>
      </c>
      <c r="E16" s="259">
        <f>'📋 PLAN SEMANAL'!E22</f>
        <v/>
      </c>
      <c r="F16" s="258">
        <f>'📋 PLAN SEMANAL'!F22</f>
        <v/>
      </c>
      <c r="G16" s="189">
        <f>'📋 PLAN SEMANAL'!G22</f>
        <v/>
      </c>
      <c r="H16" s="189">
        <f>'📋 PLAN SEMANAL'!H22</f>
        <v/>
      </c>
    </row>
    <row r="17" ht="21.75" customHeight="1" s="147">
      <c r="A17" s="170">
        <f>'📋 PLAN SEMANAL'!A23</f>
        <v/>
      </c>
      <c r="B17" s="194">
        <f>'📋 PLAN SEMANAL'!B23</f>
        <v/>
      </c>
      <c r="C17" s="260">
        <f>'📋 PLAN SEMANAL'!C23</f>
        <v/>
      </c>
      <c r="D17" s="260">
        <f>'📋 PLAN SEMANAL'!D23</f>
        <v/>
      </c>
      <c r="E17" s="259">
        <f>'📋 PLAN SEMANAL'!E23</f>
        <v/>
      </c>
      <c r="F17" s="260">
        <f>'📋 PLAN SEMANAL'!F23</f>
        <v/>
      </c>
      <c r="G17" s="194">
        <f>'📋 PLAN SEMANAL'!G23</f>
        <v/>
      </c>
      <c r="H17" s="194">
        <f>'📋 PLAN SEMANAL'!H23</f>
        <v/>
      </c>
    </row>
    <row r="18" ht="21.75" customHeight="1" s="147">
      <c r="A18" s="165">
        <f>'📋 PLAN SEMANAL'!A24</f>
        <v/>
      </c>
      <c r="B18" s="189">
        <f>'📋 PLAN SEMANAL'!B24</f>
        <v/>
      </c>
      <c r="C18" s="258">
        <f>'📋 PLAN SEMANAL'!C24</f>
        <v/>
      </c>
      <c r="D18" s="258">
        <f>'📋 PLAN SEMANAL'!D24</f>
        <v/>
      </c>
      <c r="E18" s="259">
        <f>'📋 PLAN SEMANAL'!E24</f>
        <v/>
      </c>
      <c r="F18" s="258">
        <f>'📋 PLAN SEMANAL'!F24</f>
        <v/>
      </c>
      <c r="G18" s="189">
        <f>'📋 PLAN SEMANAL'!G24</f>
        <v/>
      </c>
      <c r="H18" s="189">
        <f>'📋 PLAN SEMANAL'!H24</f>
        <v/>
      </c>
    </row>
    <row r="19" ht="21.75" customHeight="1" s="147">
      <c r="A19" s="170">
        <f>'📋 PLAN SEMANAL'!A25</f>
        <v/>
      </c>
      <c r="B19" s="194">
        <f>'📋 PLAN SEMANAL'!B25</f>
        <v/>
      </c>
      <c r="C19" s="260">
        <f>'📋 PLAN SEMANAL'!C25</f>
        <v/>
      </c>
      <c r="D19" s="260">
        <f>'📋 PLAN SEMANAL'!D25</f>
        <v/>
      </c>
      <c r="E19" s="259">
        <f>'📋 PLAN SEMANAL'!E25</f>
        <v/>
      </c>
      <c r="F19" s="260">
        <f>'📋 PLAN SEMANAL'!F25</f>
        <v/>
      </c>
      <c r="G19" s="194">
        <f>'📋 PLAN SEMANAL'!G25</f>
        <v/>
      </c>
      <c r="H19" s="194">
        <f>'📋 PLAN SEMANAL'!H25</f>
        <v/>
      </c>
    </row>
    <row r="20" ht="21.75" customHeight="1" s="147">
      <c r="A20" s="165">
        <f>'📋 PLAN SEMANAL'!A26</f>
        <v/>
      </c>
      <c r="B20" s="189">
        <f>'📋 PLAN SEMANAL'!B26</f>
        <v/>
      </c>
      <c r="C20" s="258">
        <f>'📋 PLAN SEMANAL'!C26</f>
        <v/>
      </c>
      <c r="D20" s="258">
        <f>'📋 PLAN SEMANAL'!D26</f>
        <v/>
      </c>
      <c r="E20" s="259">
        <f>'📋 PLAN SEMANAL'!E26</f>
        <v/>
      </c>
      <c r="F20" s="258">
        <f>'📋 PLAN SEMANAL'!F26</f>
        <v/>
      </c>
      <c r="G20" s="189">
        <f>'📋 PLAN SEMANAL'!G26</f>
        <v/>
      </c>
      <c r="H20" s="189">
        <f>'📋 PLAN SEMANAL'!H26</f>
        <v/>
      </c>
    </row>
    <row r="21" ht="21.75" customHeight="1" s="147">
      <c r="A21" s="170">
        <f>'📋 PLAN SEMANAL'!A27</f>
        <v/>
      </c>
      <c r="B21" s="194">
        <f>'📋 PLAN SEMANAL'!B27</f>
        <v/>
      </c>
      <c r="C21" s="260">
        <f>'📋 PLAN SEMANAL'!C27</f>
        <v/>
      </c>
      <c r="D21" s="260">
        <f>'📋 PLAN SEMANAL'!D27</f>
        <v/>
      </c>
      <c r="E21" s="259">
        <f>'📋 PLAN SEMANAL'!E27</f>
        <v/>
      </c>
      <c r="F21" s="260">
        <f>'📋 PLAN SEMANAL'!F27</f>
        <v/>
      </c>
      <c r="G21" s="194">
        <f>'📋 PLAN SEMANAL'!G27</f>
        <v/>
      </c>
      <c r="H21" s="194">
        <f>'📋 PLAN SEMANAL'!H27</f>
        <v/>
      </c>
    </row>
    <row r="22" ht="21.75" customHeight="1" s="147">
      <c r="A22" s="165">
        <f>'📋 PLAN SEMANAL'!A28</f>
        <v/>
      </c>
      <c r="B22" s="189">
        <f>'📋 PLAN SEMANAL'!B28</f>
        <v/>
      </c>
      <c r="C22" s="258">
        <f>'📋 PLAN SEMANAL'!C28</f>
        <v/>
      </c>
      <c r="D22" s="258">
        <f>'📋 PLAN SEMANAL'!D28</f>
        <v/>
      </c>
      <c r="E22" s="259">
        <f>'📋 PLAN SEMANAL'!E28</f>
        <v/>
      </c>
      <c r="F22" s="258">
        <f>'📋 PLAN SEMANAL'!F28</f>
        <v/>
      </c>
      <c r="G22" s="189">
        <f>'📋 PLAN SEMANAL'!G28</f>
        <v/>
      </c>
      <c r="H22" s="189">
        <f>'📋 PLAN SEMANAL'!H28</f>
        <v/>
      </c>
    </row>
    <row r="23" ht="21.75" customHeight="1" s="147">
      <c r="A23" s="170">
        <f>'📋 PLAN SEMANAL'!A29</f>
        <v/>
      </c>
      <c r="B23" s="194">
        <f>'📋 PLAN SEMANAL'!B29</f>
        <v/>
      </c>
      <c r="C23" s="260">
        <f>'📋 PLAN SEMANAL'!C29</f>
        <v/>
      </c>
      <c r="D23" s="260">
        <f>'📋 PLAN SEMANAL'!D29</f>
        <v/>
      </c>
      <c r="E23" s="259">
        <f>'📋 PLAN SEMANAL'!E29</f>
        <v/>
      </c>
      <c r="F23" s="260">
        <f>'📋 PLAN SEMANAL'!F29</f>
        <v/>
      </c>
      <c r="G23" s="194">
        <f>'📋 PLAN SEMANAL'!G29</f>
        <v/>
      </c>
      <c r="H23" s="194">
        <f>'📋 PLAN SEMANAL'!H29</f>
        <v/>
      </c>
    </row>
    <row r="24" ht="25.5" customHeight="1" s="147">
      <c r="A24" s="197" t="inlineStr">
        <is>
          <t>TOTAL PUNTOS OPERACIONES CALIENTES</t>
        </is>
      </c>
      <c r="B24" s="167" t="n"/>
      <c r="C24" s="167" t="n"/>
      <c r="D24" s="168" t="n"/>
      <c r="E24" s="261">
        <f>'📋 PLAN SEMANAL'!E30</f>
        <v/>
      </c>
    </row>
    <row r="25" ht="7.5" customHeight="1" s="147"/>
    <row r="26" ht="27.75" customHeight="1" s="147">
      <c r="A26" s="262" t="inlineStr">
        <is>
          <t>💊  PRODUCTOS TRABAJADOS ESTA SEMANA</t>
        </is>
      </c>
    </row>
    <row r="27" ht="21.75" customHeight="1" s="147">
      <c r="A27" s="202" t="inlineStr">
        <is>
          <t>PRODUCTO</t>
        </is>
      </c>
      <c r="B27" s="202" t="inlineStr">
        <is>
          <t>CANDIDATOS</t>
        </is>
      </c>
      <c r="C27" s="202" t="inlineStr">
        <is>
          <t>LLAMADAS</t>
        </is>
      </c>
      <c r="D27" s="202" t="inlineStr">
        <is>
          <t>REUNIONES</t>
        </is>
      </c>
      <c r="E27" s="202" t="inlineStr">
        <is>
          <t>CIERRES ESP.</t>
        </is>
      </c>
      <c r="F27" s="202" t="inlineStr">
        <is>
          <t>PTS EST.</t>
        </is>
      </c>
      <c r="G27" s="202" t="inlineStr">
        <is>
          <t>PRIORIDAD</t>
        </is>
      </c>
      <c r="H27" s="202" t="inlineStr">
        <is>
          <t>OBS.</t>
        </is>
      </c>
    </row>
    <row r="28" ht="21.75" customHeight="1" s="147">
      <c r="A28" s="203">
        <f>'📋 PLAN SEMANAL'!A34</f>
        <v/>
      </c>
      <c r="B28" s="263">
        <f>'📋 PLAN SEMANAL'!B34</f>
        <v/>
      </c>
      <c r="C28" s="263">
        <f>'📋 PLAN SEMANAL'!C34</f>
        <v/>
      </c>
      <c r="D28" s="263">
        <f>'📋 PLAN SEMANAL'!D34</f>
        <v/>
      </c>
      <c r="E28" s="263">
        <f>'📋 PLAN SEMANAL'!E34</f>
        <v/>
      </c>
      <c r="F28" s="264">
        <f>'📋 PLAN SEMANAL'!F34</f>
        <v/>
      </c>
      <c r="G28" s="263">
        <f>'📋 PLAN SEMANAL'!G34</f>
        <v/>
      </c>
      <c r="H28" s="263">
        <f>'📋 PLAN SEMANAL'!H34</f>
        <v/>
      </c>
    </row>
    <row r="29" ht="21.75" customHeight="1" s="147">
      <c r="A29" s="170">
        <f>'📋 PLAN SEMANAL'!A35</f>
        <v/>
      </c>
      <c r="B29" s="260">
        <f>'📋 PLAN SEMANAL'!B35</f>
        <v/>
      </c>
      <c r="C29" s="260">
        <f>'📋 PLAN SEMANAL'!C35</f>
        <v/>
      </c>
      <c r="D29" s="260">
        <f>'📋 PLAN SEMANAL'!D35</f>
        <v/>
      </c>
      <c r="E29" s="260">
        <f>'📋 PLAN SEMANAL'!E35</f>
        <v/>
      </c>
      <c r="F29" s="265">
        <f>'📋 PLAN SEMANAL'!F35</f>
        <v/>
      </c>
      <c r="G29" s="260">
        <f>'📋 PLAN SEMANAL'!G35</f>
        <v/>
      </c>
      <c r="H29" s="260">
        <f>'📋 PLAN SEMANAL'!H35</f>
        <v/>
      </c>
    </row>
    <row r="30" ht="21.75" customHeight="1" s="147">
      <c r="A30" s="165">
        <f>'📋 PLAN SEMANAL'!A36</f>
        <v/>
      </c>
      <c r="B30" s="258">
        <f>'📋 PLAN SEMANAL'!B36</f>
        <v/>
      </c>
      <c r="C30" s="258">
        <f>'📋 PLAN SEMANAL'!C36</f>
        <v/>
      </c>
      <c r="D30" s="258">
        <f>'📋 PLAN SEMANAL'!D36</f>
        <v/>
      </c>
      <c r="E30" s="258">
        <f>'📋 PLAN SEMANAL'!E36</f>
        <v/>
      </c>
      <c r="F30" s="266">
        <f>'📋 PLAN SEMANAL'!F36</f>
        <v/>
      </c>
      <c r="G30" s="258">
        <f>'📋 PLAN SEMANAL'!G36</f>
        <v/>
      </c>
      <c r="H30" s="258">
        <f>'📋 PLAN SEMANAL'!H36</f>
        <v/>
      </c>
    </row>
    <row r="31" ht="21.75" customHeight="1" s="147">
      <c r="A31" s="170">
        <f>'📋 PLAN SEMANAL'!A37</f>
        <v/>
      </c>
      <c r="B31" s="260">
        <f>'📋 PLAN SEMANAL'!B37</f>
        <v/>
      </c>
      <c r="C31" s="260">
        <f>'📋 PLAN SEMANAL'!C37</f>
        <v/>
      </c>
      <c r="D31" s="260">
        <f>'📋 PLAN SEMANAL'!D37</f>
        <v/>
      </c>
      <c r="E31" s="260">
        <f>'📋 PLAN SEMANAL'!E37</f>
        <v/>
      </c>
      <c r="F31" s="265">
        <f>'📋 PLAN SEMANAL'!F37</f>
        <v/>
      </c>
      <c r="G31" s="260">
        <f>'📋 PLAN SEMANAL'!G37</f>
        <v/>
      </c>
      <c r="H31" s="260">
        <f>'📋 PLAN SEMANAL'!H37</f>
        <v/>
      </c>
    </row>
    <row r="32" ht="21.75" customHeight="1" s="147">
      <c r="A32" s="165">
        <f>'📋 PLAN SEMANAL'!A38</f>
        <v/>
      </c>
      <c r="B32" s="258">
        <f>'📋 PLAN SEMANAL'!B38</f>
        <v/>
      </c>
      <c r="C32" s="258">
        <f>'📋 PLAN SEMANAL'!C38</f>
        <v/>
      </c>
      <c r="D32" s="258">
        <f>'📋 PLAN SEMANAL'!D38</f>
        <v/>
      </c>
      <c r="E32" s="258">
        <f>'📋 PLAN SEMANAL'!E38</f>
        <v/>
      </c>
      <c r="F32" s="266">
        <f>'📋 PLAN SEMANAL'!F38</f>
        <v/>
      </c>
      <c r="G32" s="258">
        <f>'📋 PLAN SEMANAL'!G38</f>
        <v/>
      </c>
      <c r="H32" s="258">
        <f>'📋 PLAN SEMANAL'!H38</f>
        <v/>
      </c>
    </row>
  </sheetData>
  <mergeCells count="30">
    <mergeCell ref="C6:D6"/>
    <mergeCell ref="C5:D5"/>
    <mergeCell ref="E5:F5"/>
    <mergeCell ref="A1:H1"/>
    <mergeCell ref="G8:H8"/>
    <mergeCell ref="A6:B6"/>
    <mergeCell ref="E8:F8"/>
    <mergeCell ref="C4:D4"/>
    <mergeCell ref="E4:F4"/>
    <mergeCell ref="C10:D10"/>
    <mergeCell ref="E10:F10"/>
    <mergeCell ref="G10:H10"/>
    <mergeCell ref="A24:D24"/>
    <mergeCell ref="G6:H6"/>
    <mergeCell ref="C9:D9"/>
    <mergeCell ref="E9:F9"/>
    <mergeCell ref="E24:H24"/>
    <mergeCell ref="A12:H12"/>
    <mergeCell ref="A26:H26"/>
    <mergeCell ref="E6:F6"/>
    <mergeCell ref="A2:H2"/>
    <mergeCell ref="A5:B5"/>
    <mergeCell ref="G5:H5"/>
    <mergeCell ref="A8:B8"/>
    <mergeCell ref="C8:D8"/>
    <mergeCell ref="A4:B4"/>
    <mergeCell ref="G4:H4"/>
    <mergeCell ref="A10:B10"/>
    <mergeCell ref="A9:B9"/>
    <mergeCell ref="G9:H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61" min="1" max="1"/>
    <col width="14" customWidth="1" style="161" min="2" max="7"/>
    <col width="20" customWidth="1" style="161" min="8" max="8"/>
  </cols>
  <sheetData>
    <row r="1" ht="37.5" customHeight="1" s="147">
      <c r="A1" s="267" t="inlineStr">
        <is>
          <t>👥  PLANTILLA SEMANAL PARA AGENTES — Nationale-Nederlanden</t>
        </is>
      </c>
    </row>
    <row r="2" ht="18" customHeight="1" s="147">
      <c r="A2" s="268" t="inlineStr">
        <is>
          <t>Cada agente rellena esta hoja y la envía al Punto Naranja antes del LUNES 8:30h</t>
        </is>
      </c>
    </row>
    <row r="4" ht="27.75" customHeight="1" s="147">
      <c r="A4" s="269" t="inlineStr">
        <is>
          <t>👤  DATOS DEL AGENTE</t>
        </is>
      </c>
    </row>
    <row r="5" ht="21.75" customHeight="1" s="147">
      <c r="A5" s="165" t="inlineStr">
        <is>
          <t>Nombre completo</t>
        </is>
      </c>
      <c r="B5" s="172" t="n"/>
      <c r="C5" s="167" t="n"/>
      <c r="D5" s="167" t="n"/>
      <c r="E5" s="167" t="n"/>
      <c r="F5" s="167" t="n"/>
      <c r="G5" s="167" t="n"/>
      <c r="H5" s="168" t="n"/>
    </row>
    <row r="6" ht="21.75" customHeight="1" s="147">
      <c r="A6" s="170" t="inlineStr">
        <is>
          <t>Zona / Pueblo</t>
        </is>
      </c>
      <c r="B6" s="172" t="n"/>
      <c r="C6" s="167" t="n"/>
      <c r="D6" s="167" t="n"/>
      <c r="E6" s="167" t="n"/>
      <c r="F6" s="167" t="n"/>
      <c r="G6" s="167" t="n"/>
      <c r="H6" s="168" t="n"/>
    </row>
    <row r="7" ht="21.75" customHeight="1" s="147">
      <c r="A7" s="165" t="inlineStr">
        <is>
          <t>Semana del</t>
        </is>
      </c>
      <c r="B7" s="172">
        <f>TEXT(TODAY(),"DD/MM/YYYY")</f>
        <v/>
      </c>
      <c r="C7" s="167" t="n"/>
      <c r="D7" s="167" t="n"/>
      <c r="E7" s="167" t="n"/>
      <c r="F7" s="167" t="n"/>
      <c r="G7" s="167" t="n"/>
      <c r="H7" s="168" t="n"/>
    </row>
    <row r="8" ht="21.75" customHeight="1" s="147">
      <c r="A8" s="170" t="inlineStr">
        <is>
          <t>Supervisor</t>
        </is>
      </c>
      <c r="B8" s="172" t="inlineStr">
        <is>
          <t>Antonio Morote</t>
        </is>
      </c>
      <c r="C8" s="167" t="n"/>
      <c r="D8" s="167" t="n"/>
      <c r="E8" s="167" t="n"/>
      <c r="F8" s="167" t="n"/>
      <c r="G8" s="167" t="n"/>
      <c r="H8" s="168" t="n"/>
    </row>
    <row r="10" ht="27.75" customHeight="1" s="147">
      <c r="A10" s="270" t="inlineStr">
        <is>
          <t>📞  ACTIVIDAD SEMANAL REALIZADA</t>
        </is>
      </c>
    </row>
    <row r="11" ht="21.75" customHeight="1" s="147">
      <c r="A11" s="175" t="n"/>
      <c r="B11" s="175" t="inlineStr">
        <is>
          <t>LUNES</t>
        </is>
      </c>
      <c r="C11" s="175" t="inlineStr">
        <is>
          <t>MARTES</t>
        </is>
      </c>
      <c r="D11" s="175" t="inlineStr">
        <is>
          <t>MIÉRCOLES</t>
        </is>
      </c>
      <c r="E11" s="175" t="inlineStr">
        <is>
          <t>JUEVES</t>
        </is>
      </c>
      <c r="F11" s="175" t="inlineStr">
        <is>
          <t>VIERNES</t>
        </is>
      </c>
      <c r="G11" s="175" t="inlineStr">
        <is>
          <t>TOTAL</t>
        </is>
      </c>
      <c r="H11" s="175" t="inlineStr">
        <is>
          <t>OBSERVACIONES</t>
        </is>
      </c>
    </row>
    <row r="12" ht="21.75" customHeight="1" s="147">
      <c r="A12" s="176" t="inlineStr">
        <is>
          <t>Llamadas realizadas</t>
        </is>
      </c>
      <c r="B12" s="169" t="n"/>
      <c r="C12" s="169" t="n"/>
      <c r="D12" s="169" t="n"/>
      <c r="E12" s="169" t="n"/>
      <c r="F12" s="169" t="n"/>
      <c r="G12" s="271">
        <f>SUM(B12:F12)</f>
        <v/>
      </c>
      <c r="H12" s="272" t="n"/>
    </row>
    <row r="13" ht="21.75" customHeight="1" s="147">
      <c r="A13" s="179" t="inlineStr">
        <is>
          <t>Contactos conseguidos</t>
        </is>
      </c>
      <c r="B13" s="169" t="n"/>
      <c r="C13" s="169" t="n"/>
      <c r="D13" s="169" t="n"/>
      <c r="E13" s="169" t="n"/>
      <c r="F13" s="169" t="n"/>
      <c r="G13" s="273">
        <f>SUM(B13:F13)</f>
        <v/>
      </c>
      <c r="H13" s="274" t="n"/>
    </row>
    <row r="14" ht="21.75" customHeight="1" s="147">
      <c r="A14" s="181" t="inlineStr">
        <is>
          <t>Reuniones realizadas</t>
        </is>
      </c>
      <c r="B14" s="169" t="n"/>
      <c r="C14" s="169" t="n"/>
      <c r="D14" s="169" t="n"/>
      <c r="E14" s="169" t="n"/>
      <c r="F14" s="169" t="n"/>
      <c r="G14" s="275">
        <f>SUM(B14:F14)</f>
        <v/>
      </c>
      <c r="H14" s="276" t="n"/>
    </row>
    <row r="15" ht="21.75" customHeight="1" s="147">
      <c r="A15" s="184" t="inlineStr">
        <is>
          <t>Pólizas firmadas</t>
        </is>
      </c>
      <c r="B15" s="169" t="n"/>
      <c r="C15" s="169" t="n"/>
      <c r="D15" s="169" t="n"/>
      <c r="E15" s="169" t="n"/>
      <c r="F15" s="169" t="n"/>
      <c r="G15" s="277">
        <f>SUM(B15:F15)</f>
        <v/>
      </c>
      <c r="H15" s="278" t="n"/>
    </row>
    <row r="16" ht="21.75" customHeight="1" s="147">
      <c r="A16" s="203" t="inlineStr">
        <is>
          <t>Puntos N-N generados</t>
        </is>
      </c>
      <c r="B16" s="169" t="n"/>
      <c r="C16" s="169" t="n"/>
      <c r="D16" s="169" t="n"/>
      <c r="E16" s="169" t="n"/>
      <c r="F16" s="169" t="n"/>
      <c r="G16" s="279">
        <f>SUM(B16:F16)</f>
        <v/>
      </c>
      <c r="H16" s="280" t="n"/>
    </row>
    <row r="18" ht="27.75" customHeight="1" s="147">
      <c r="A18" s="187" t="inlineStr">
        <is>
          <t>🔥  OPERACIONES PREVISTAS PRÓXIMA SEMANA</t>
        </is>
      </c>
    </row>
    <row r="19" ht="21.75" customHeight="1" s="147">
      <c r="A19" s="188" t="inlineStr">
        <is>
          <t>NOMBRE CLIENTE</t>
        </is>
      </c>
      <c r="B19" s="188" t="inlineStr">
        <is>
          <t>PRODUCTO</t>
        </is>
      </c>
      <c r="C19" s="188" t="inlineStr">
        <is>
          <t>FECHA FIRMA</t>
        </is>
      </c>
      <c r="D19" s="188" t="inlineStr">
        <is>
          <t>PROB. CIERRE</t>
        </is>
      </c>
      <c r="E19" s="188" t="inlineStr">
        <is>
          <t>PTS ESTIMADOS</t>
        </is>
      </c>
      <c r="F19" s="188" t="inlineStr">
        <is>
          <t>ESTADO</t>
        </is>
      </c>
      <c r="G19" s="188" t="inlineStr">
        <is>
          <t>PUEBLO</t>
        </is>
      </c>
      <c r="H19" s="188" t="inlineStr">
        <is>
          <t>NOTAS</t>
        </is>
      </c>
    </row>
    <row r="20" ht="21.75" customHeight="1" s="147">
      <c r="A20" s="189" t="n"/>
      <c r="B20" s="189" t="n"/>
      <c r="C20" s="190" t="n"/>
      <c r="D20" s="190" t="n"/>
      <c r="E20" s="259" t="n"/>
      <c r="F20" s="258" t="n"/>
      <c r="G20" s="258" t="n"/>
      <c r="H20" s="258" t="n"/>
    </row>
    <row r="21" ht="21.75" customHeight="1" s="147">
      <c r="A21" s="194" t="n"/>
      <c r="B21" s="194" t="n"/>
      <c r="C21" s="190" t="n"/>
      <c r="D21" s="190" t="n"/>
      <c r="E21" s="259" t="n"/>
      <c r="F21" s="260" t="n"/>
      <c r="G21" s="260" t="n"/>
      <c r="H21" s="260" t="n"/>
    </row>
    <row r="22" ht="21.75" customHeight="1" s="147">
      <c r="A22" s="189" t="n"/>
      <c r="B22" s="189" t="n"/>
      <c r="C22" s="190" t="n"/>
      <c r="D22" s="190" t="n"/>
      <c r="E22" s="259" t="n"/>
      <c r="F22" s="258" t="n"/>
      <c r="G22" s="258" t="n"/>
      <c r="H22" s="258" t="n"/>
    </row>
    <row r="23" ht="21.75" customHeight="1" s="147">
      <c r="A23" s="194" t="n"/>
      <c r="B23" s="194" t="n"/>
      <c r="C23" s="190" t="n"/>
      <c r="D23" s="190" t="n"/>
      <c r="E23" s="259" t="n"/>
      <c r="F23" s="260" t="n"/>
      <c r="G23" s="260" t="n"/>
      <c r="H23" s="260" t="n"/>
    </row>
    <row r="24" ht="21.75" customHeight="1" s="147">
      <c r="A24" s="189" t="n"/>
      <c r="B24" s="189" t="n"/>
      <c r="C24" s="190" t="n"/>
      <c r="D24" s="190" t="n"/>
      <c r="E24" s="259" t="n"/>
      <c r="F24" s="258" t="n"/>
      <c r="G24" s="258" t="n"/>
      <c r="H24" s="258" t="n"/>
    </row>
    <row r="25" ht="21.75" customHeight="1" s="147">
      <c r="A25" s="194" t="n"/>
      <c r="B25" s="194" t="n"/>
      <c r="C25" s="190" t="n"/>
      <c r="D25" s="190" t="n"/>
      <c r="E25" s="259" t="n"/>
      <c r="F25" s="260" t="n"/>
      <c r="G25" s="260" t="n"/>
      <c r="H25" s="260" t="n"/>
    </row>
    <row r="26" ht="21.75" customHeight="1" s="147">
      <c r="A26" s="189" t="n"/>
      <c r="B26" s="189" t="n"/>
      <c r="C26" s="190" t="n"/>
      <c r="D26" s="190" t="n"/>
      <c r="E26" s="259" t="n"/>
      <c r="F26" s="258" t="n"/>
      <c r="G26" s="258" t="n"/>
      <c r="H26" s="258" t="n"/>
    </row>
    <row r="27" ht="21.75" customHeight="1" s="147">
      <c r="A27" s="194" t="n"/>
      <c r="B27" s="194" t="n"/>
      <c r="C27" s="190" t="n"/>
      <c r="D27" s="190" t="n"/>
      <c r="E27" s="259" t="n"/>
      <c r="F27" s="260" t="n"/>
      <c r="G27" s="260" t="n"/>
      <c r="H27" s="260" t="n"/>
    </row>
    <row r="28" ht="24" customHeight="1" s="147">
      <c r="A28" s="197" t="inlineStr">
        <is>
          <t>TOTAL PTS ESTIMADOS</t>
        </is>
      </c>
      <c r="B28" s="167" t="n"/>
      <c r="C28" s="167" t="n"/>
      <c r="D28" s="168" t="n"/>
      <c r="E28" s="261">
        <f>SUM(E20:E27)</f>
        <v/>
      </c>
    </row>
  </sheetData>
  <mergeCells count="11">
    <mergeCell ref="A18:H18"/>
    <mergeCell ref="A4:H4"/>
    <mergeCell ref="B8:H8"/>
    <mergeCell ref="B5:H5"/>
    <mergeCell ref="A2:H2"/>
    <mergeCell ref="A10:H10"/>
    <mergeCell ref="B6:H6"/>
    <mergeCell ref="B7:H7"/>
    <mergeCell ref="A1:H1"/>
    <mergeCell ref="A28:D28"/>
    <mergeCell ref="E28:H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61" min="1" max="1"/>
    <col width="14" customWidth="1" style="161" min="2" max="7"/>
    <col width="20" customWidth="1" style="161" min="8" max="8"/>
  </cols>
  <sheetData>
    <row r="1" ht="43.5" customHeight="1" s="147">
      <c r="A1" s="281" t="inlineStr">
        <is>
          <t>🏆  CONSOLIDADO EQUIPO — PUNTO NARANJA XÀTIVA · SEMANA</t>
        </is>
      </c>
    </row>
    <row r="2" ht="18" customHeight="1" s="147">
      <c r="A2" s="282" t="inlineStr">
        <is>
          <t>Documento final para Antonio Morote · Incluye Punto Naranja + todos los agentes del equipo</t>
        </is>
      </c>
    </row>
    <row r="4" ht="27.75" customHeight="1" s="147">
      <c r="A4" s="226" t="inlineStr">
        <is>
          <t>📊  RESUMEN POR AGENTE — LLAMADAS, REUNIONES Y PUNTOS PREVISTOS</t>
        </is>
      </c>
    </row>
    <row r="5" ht="36" customHeight="1" s="147">
      <c r="A5" s="283" t="inlineStr">
        <is>
          <t>AGENTE / PUNTO NARANJA</t>
        </is>
      </c>
      <c r="B5" s="283" t="inlineStr">
        <is>
          <t>ZONA</t>
        </is>
      </c>
      <c r="C5" s="283" t="inlineStr">
        <is>
          <t>LLAMADAS
SEMANA</t>
        </is>
      </c>
      <c r="D5" s="283" t="inlineStr">
        <is>
          <t>REUNIONES
ESP.</t>
        </is>
      </c>
      <c r="E5" s="283" t="inlineStr">
        <is>
          <t>CIERRES
ESP.</t>
        </is>
      </c>
      <c r="F5" s="283" t="inlineStr">
        <is>
          <t>PTS ESTIMADOS</t>
        </is>
      </c>
      <c r="G5" s="283" t="inlineStr">
        <is>
          <t>% OBJ
MENSUAL</t>
        </is>
      </c>
      <c r="H5" s="283" t="inlineStr">
        <is>
          <t>ESTADO</t>
        </is>
      </c>
    </row>
    <row r="6" ht="25.5" customHeight="1" s="147">
      <c r="A6" s="284" t="inlineStr">
        <is>
          <t>🎯 Punto Naranja (Xàtiva)</t>
        </is>
      </c>
      <c r="B6" s="285" t="inlineStr">
        <is>
          <t>Xàtiva / La Costera</t>
        </is>
      </c>
      <c r="C6" s="286">
        <f>'📋 PLAN SEMANAL'!G13</f>
        <v/>
      </c>
      <c r="D6" s="286">
        <f>'📋 PLAN SEMANAL'!G15</f>
        <v/>
      </c>
      <c r="E6" s="286">
        <f>'📋 PLAN SEMANAL'!G16</f>
        <v/>
      </c>
      <c r="F6" s="287">
        <f>'📋 PLAN SEMANAL'!E30</f>
        <v/>
      </c>
      <c r="G6" s="288" t="n"/>
      <c r="H6" s="289" t="inlineStr">
        <is>
          <t>🟢 EN PLAN</t>
        </is>
      </c>
    </row>
    <row r="7" ht="24" customHeight="1" s="147">
      <c r="A7" s="290" t="inlineStr">
        <is>
          <t>Agente 1</t>
        </is>
      </c>
      <c r="B7" s="291" t="n"/>
      <c r="C7" s="169" t="n"/>
      <c r="D7" s="169" t="n"/>
      <c r="E7" s="169" t="n"/>
      <c r="F7" s="292" t="n"/>
      <c r="G7" s="293" t="n"/>
      <c r="H7" s="294" t="n"/>
    </row>
    <row r="8" ht="24" customHeight="1" s="147">
      <c r="A8" s="295" t="inlineStr">
        <is>
          <t>Agente 2</t>
        </is>
      </c>
      <c r="B8" s="182" t="n"/>
      <c r="C8" s="169" t="n"/>
      <c r="D8" s="169" t="n"/>
      <c r="E8" s="169" t="n"/>
      <c r="F8" s="292" t="n"/>
      <c r="G8" s="296" t="n"/>
      <c r="H8" s="297" t="n"/>
    </row>
    <row r="9" ht="24" customHeight="1" s="147">
      <c r="A9" s="298" t="inlineStr">
        <is>
          <t>Agente 3</t>
        </is>
      </c>
      <c r="B9" s="299" t="n"/>
      <c r="C9" s="169" t="n"/>
      <c r="D9" s="169" t="n"/>
      <c r="E9" s="169" t="n"/>
      <c r="F9" s="292" t="n"/>
      <c r="G9" s="300" t="n"/>
      <c r="H9" s="259" t="n"/>
    </row>
    <row r="10" ht="24" customHeight="1" s="147">
      <c r="A10" s="301" t="inlineStr">
        <is>
          <t>Agente 4</t>
        </is>
      </c>
      <c r="B10" s="218" t="n"/>
      <c r="C10" s="169" t="n"/>
      <c r="D10" s="169" t="n"/>
      <c r="E10" s="169" t="n"/>
      <c r="F10" s="292" t="n"/>
      <c r="G10" s="302" t="n"/>
      <c r="H10" s="303" t="n"/>
    </row>
    <row r="11" ht="27.75" customHeight="1" s="147">
      <c r="A11" s="304" t="inlineStr">
        <is>
          <t>TOTAL EQUIPO</t>
        </is>
      </c>
      <c r="B11" s="305" t="n"/>
      <c r="C11" s="306">
        <f>SUM(C6:C10)</f>
        <v/>
      </c>
      <c r="D11" s="306">
        <f>SUM(D6:D10)</f>
        <v/>
      </c>
      <c r="E11" s="306">
        <f>SUM(E6:E10)</f>
        <v/>
      </c>
      <c r="F11" s="307">
        <f>SUM(F6:F10)</f>
        <v/>
      </c>
      <c r="G11" s="308" t="n"/>
      <c r="H11" s="305" t="n"/>
    </row>
  </sheetData>
  <mergeCells count="3">
    <mergeCell ref="A4:H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2026-03-21T13:03:22Z</dcterms:created>
  <dcterms:modified xmlns:dcterms="http://purl.org/dc/terms/" xmlns:xsi="http://www.w3.org/2001/XMLSchema-instance" xsi:type="dcterms:W3CDTF">2026-04-18T16:36:32Z</dcterms:modified>
  <cp:revision>0</cp:revision>
</cp:coreProperties>
</file>