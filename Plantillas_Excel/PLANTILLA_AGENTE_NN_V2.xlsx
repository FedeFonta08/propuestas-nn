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📖 INSTRUCCIONES" sheetId="1" state="visible" r:id="rId1"/>
    <sheet xmlns:r="http://schemas.openxmlformats.org/officeDocument/2006/relationships" name="🎯 MI PERFIL" sheetId="2" state="visible" r:id="rId2"/>
    <sheet xmlns:r="http://schemas.openxmlformats.org/officeDocument/2006/relationships" name="👤 MIS DATOS" sheetId="3" state="visible" r:id="rId3"/>
    <sheet xmlns:r="http://schemas.openxmlformats.org/officeDocument/2006/relationships" name="📞 MI ACTIVIDAD" sheetId="4" state="visible" r:id="rId4"/>
    <sheet xmlns:r="http://schemas.openxmlformats.org/officeDocument/2006/relationships" name="🔥 MIS OPERACIONES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4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6"/>
    </font>
    <font>
      <name val="Arial"/>
      <charset val="1"/>
      <family val="0"/>
      <i val="1"/>
      <color rgb="FFAAAAAA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2E86C1"/>
      <sz val="11"/>
    </font>
    <font>
      <name val="Arial"/>
      <charset val="1"/>
      <family val="0"/>
      <i val="1"/>
      <color rgb="FF777777"/>
      <sz val="9"/>
    </font>
    <font>
      <name val="Arial"/>
      <charset val="1"/>
      <family val="0"/>
      <b val="1"/>
      <color rgb="FF1E8449"/>
      <sz val="11"/>
    </font>
    <font>
      <name val="Arial"/>
      <charset val="1"/>
      <family val="0"/>
      <b val="1"/>
      <color rgb="FFC0392B"/>
      <sz val="11"/>
    </font>
    <font>
      <name val="Arial"/>
      <charset val="1"/>
      <family val="0"/>
      <b val="1"/>
      <color rgb="FFFF6B35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rgb="FF7B241C"/>
      <sz val="10"/>
    </font>
    <font>
      <name val="Arial"/>
      <charset val="1"/>
      <family val="0"/>
      <b val="1"/>
      <color rgb="FFFF6B35"/>
      <sz val="10"/>
    </font>
    <font>
      <name val="Arial"/>
      <charset val="1"/>
      <family val="0"/>
      <b val="1"/>
      <color rgb="FFFFFFFF"/>
      <sz val="13"/>
    </font>
    <font>
      <name val="Arial"/>
      <charset val="1"/>
      <family val="0"/>
      <i val="1"/>
      <color rgb="FFAAAAAA"/>
      <sz val="9"/>
    </font>
    <font>
      <name val="Arial"/>
      <charset val="1"/>
      <family val="0"/>
      <b val="1"/>
      <color rgb="FF7D3C98"/>
      <sz val="10"/>
    </font>
    <font>
      <name val="Arial"/>
      <charset val="1"/>
      <family val="0"/>
      <color rgb="FF1A1A2E"/>
      <sz val="11"/>
    </font>
    <font>
      <name val="Arial"/>
      <charset val="1"/>
      <family val="0"/>
      <color rgb="FF1A1A2E"/>
      <sz val="10"/>
    </font>
    <font>
      <name val="Arial"/>
      <charset val="1"/>
      <family val="0"/>
      <i val="1"/>
      <color rgb="FF999999"/>
      <sz val="8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0D1B2A"/>
      <sz val="9"/>
    </font>
    <font>
      <name val="Arial"/>
      <charset val="1"/>
      <family val="0"/>
      <b val="1"/>
      <color rgb="FF1A1A2E"/>
      <sz val="11"/>
    </font>
    <font>
      <name val="Arial"/>
      <charset val="1"/>
      <family val="0"/>
      <b val="1"/>
      <color rgb="FFFF6B35"/>
      <sz val="12"/>
    </font>
    <font>
      <name val="Arial"/>
      <charset val="1"/>
      <family val="0"/>
      <color rgb="FF1A1A2E"/>
      <sz val="9"/>
    </font>
    <font>
      <name val="Arial"/>
      <charset val="1"/>
      <family val="0"/>
      <b val="1"/>
      <color rgb="FF1A1A2E"/>
      <sz val="12"/>
    </font>
    <font>
      <name val="Arial"/>
      <charset val="1"/>
      <family val="0"/>
      <b val="1"/>
      <color rgb="FFFFFFFF"/>
      <sz val="8"/>
    </font>
    <font>
      <name val="Arial"/>
      <charset val="1"/>
      <family val="0"/>
      <b val="1"/>
      <color rgb="FF1E8449"/>
      <sz val="9"/>
    </font>
    <font>
      <name val="Arial"/>
      <charset val="1"/>
      <family val="0"/>
      <i val="1"/>
      <color rgb="FF1E8449"/>
      <sz val="8"/>
    </font>
    <font>
      <name val="Arial"/>
      <charset val="1"/>
      <family val="0"/>
      <color rgb="FF1A1A2E"/>
      <sz val="8"/>
    </font>
    <font>
      <name val="Arial"/>
      <charset val="1"/>
      <family val="0"/>
      <b val="1"/>
      <color rgb="FF1A1A2E"/>
      <sz val="10"/>
    </font>
    <font>
      <name val="Arial"/>
      <charset val="1"/>
      <family val="0"/>
      <i val="1"/>
      <color rgb="FF1A1A2E"/>
      <sz val="9"/>
    </font>
    <font>
      <name val="Arial"/>
      <charset val="1"/>
      <family val="0"/>
      <b val="1"/>
      <color rgb="FF1A1A2E"/>
      <sz val="9"/>
    </font>
    <font>
      <name val="Arial"/>
      <charset val="1"/>
      <family val="0"/>
      <b val="1"/>
      <sz val="10"/>
    </font>
    <font>
      <name val="Arial"/>
      <charset val="1"/>
      <family val="0"/>
      <b val="1"/>
      <color rgb="FF888888"/>
      <sz val="11"/>
    </font>
    <font>
      <name val="Arial"/>
      <charset val="1"/>
      <family val="0"/>
      <b val="1"/>
      <color rgb="FF1E8449"/>
      <sz val="13"/>
    </font>
    <font>
      <name val="Arial"/>
      <b val="1"/>
      <color rgb="00FF6600"/>
      <sz val="16"/>
    </font>
    <font>
      <name val="Arial"/>
      <i val="1"/>
      <sz val="10"/>
    </font>
    <font>
      <name val="Arial"/>
      <b val="1"/>
      <sz val="12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</fonts>
  <fills count="36">
    <fill>
      <patternFill/>
    </fill>
    <fill>
      <patternFill patternType="gray125"/>
    </fill>
    <fill>
      <patternFill patternType="solid">
        <fgColor rgb="FF0D1B2A"/>
        <bgColor rgb="FF0A1520"/>
      </patternFill>
    </fill>
    <fill>
      <patternFill patternType="solid">
        <fgColor rgb="FF0A1520"/>
        <bgColor rgb="FF0D1B2A"/>
      </patternFill>
    </fill>
    <fill>
      <patternFill patternType="solid">
        <fgColor rgb="FFF8F9FA"/>
        <bgColor rgb="FFF4F6F7"/>
      </patternFill>
    </fill>
    <fill>
      <patternFill patternType="solid">
        <fgColor rgb="FF2E86C1"/>
        <bgColor rgb="FF008080"/>
      </patternFill>
    </fill>
    <fill>
      <patternFill patternType="solid">
        <fgColor rgb="FFD6EAF8"/>
        <bgColor rgb="FFE8EAF6"/>
      </patternFill>
    </fill>
    <fill>
      <patternFill patternType="solid">
        <fgColor rgb="FF1E8449"/>
        <bgColor rgb="FF008080"/>
      </patternFill>
    </fill>
    <fill>
      <patternFill patternType="solid">
        <fgColor rgb="FFD5F5E3"/>
        <bgColor rgb="FFE8F5E9"/>
      </patternFill>
    </fill>
    <fill>
      <patternFill patternType="solid">
        <fgColor rgb="FFC0392B"/>
        <bgColor rgb="FFCC4400"/>
      </patternFill>
    </fill>
    <fill>
      <patternFill patternType="solid">
        <fgColor rgb="FFFDECEA"/>
        <bgColor rgb="FFFDF2E9"/>
      </patternFill>
    </fill>
    <fill>
      <patternFill patternType="solid">
        <fgColor rgb="FFFF6B35"/>
        <bgColor rgb="FFCC4400"/>
      </patternFill>
    </fill>
    <fill>
      <patternFill patternType="solid">
        <fgColor rgb="FFFEF9E7"/>
        <bgColor rgb="FFFFFDE7"/>
      </patternFill>
    </fill>
    <fill>
      <patternFill patternType="solid">
        <fgColor rgb="FF922B21"/>
        <bgColor rgb="FF7B241C"/>
      </patternFill>
    </fill>
    <fill>
      <patternFill patternType="solid">
        <fgColor rgb="FFFDF2E9"/>
        <bgColor rgb="FFFDECEA"/>
      </patternFill>
    </fill>
    <fill>
      <patternFill patternType="solid">
        <fgColor rgb="FF7D3C98"/>
        <bgColor rgb="FF333399"/>
      </patternFill>
    </fill>
    <fill>
      <patternFill patternType="solid">
        <fgColor rgb="FF1A0A2E"/>
        <bgColor rgb="FF1A1A2E"/>
      </patternFill>
    </fill>
    <fill>
      <patternFill patternType="solid">
        <fgColor rgb="FFE8EAF6"/>
        <bgColor rgb="FFF3E5F5"/>
      </patternFill>
    </fill>
    <fill>
      <patternFill patternType="solid">
        <fgColor rgb="FFFFFDE7"/>
        <bgColor rgb="FFFEF9E7"/>
      </patternFill>
    </fill>
    <fill>
      <patternFill patternType="solid">
        <fgColor rgb="FFF3E5F5"/>
        <bgColor rgb="FFF5EEF8"/>
      </patternFill>
    </fill>
    <fill>
      <patternFill patternType="solid">
        <fgColor rgb="FFEBF5FB"/>
        <bgColor rgb="FFE8F8F0"/>
      </patternFill>
    </fill>
    <fill>
      <patternFill patternType="solid">
        <fgColor rgb="FFFFF3CD"/>
        <bgColor rgb="FFFDF2E9"/>
      </patternFill>
    </fill>
    <fill>
      <patternFill patternType="solid">
        <fgColor rgb="FF1A5276"/>
        <bgColor rgb="FF145A32"/>
      </patternFill>
    </fill>
    <fill>
      <patternFill patternType="solid">
        <fgColor rgb="FF145A32"/>
        <bgColor rgb="FF1A5276"/>
      </patternFill>
    </fill>
    <fill>
      <patternFill patternType="solid">
        <fgColor rgb="FFE8F8F0"/>
        <bgColor rgb="FFE8F5E9"/>
      </patternFill>
    </fill>
    <fill>
      <patternFill patternType="solid">
        <fgColor rgb="FFF5EEF8"/>
        <bgColor rgb="FFF4F6F7"/>
      </patternFill>
    </fill>
    <fill>
      <patternFill patternType="solid">
        <fgColor rgb="FFF4F6F7"/>
        <bgColor rgb="FFF8F9FA"/>
      </patternFill>
    </fill>
    <fill>
      <patternFill patternType="solid">
        <fgColor rgb="FF1A0A00"/>
        <bgColor rgb="FF1A0A2E"/>
      </patternFill>
    </fill>
    <fill>
      <patternFill patternType="solid">
        <fgColor rgb="FFCC4400"/>
        <bgColor rgb="FFC0392B"/>
      </patternFill>
    </fill>
    <fill>
      <patternFill patternType="solid">
        <fgColor rgb="FFFFD6D6"/>
        <bgColor rgb="FFF3E5F5"/>
      </patternFill>
    </fill>
    <fill>
      <patternFill patternType="solid">
        <fgColor rgb="FFE8F5E9"/>
        <bgColor rgb="FFE8F8F0"/>
      </patternFill>
    </fill>
    <fill>
      <patternFill patternType="solid">
        <fgColor rgb="FF1A1A2E"/>
        <bgColor rgb="FF0D1B2A"/>
      </patternFill>
    </fill>
    <fill>
      <patternFill patternType="solid">
        <fgColor rgb="FFFFFFFF"/>
        <bgColor rgb="FFF8F9FA"/>
      </patternFill>
    </fill>
    <fill>
      <patternFill patternType="solid">
        <fgColor rgb="00F0F0F0"/>
        <bgColor rgb="00F0F0F0"/>
      </patternFill>
    </fill>
    <fill>
      <patternFill patternType="solid">
        <fgColor rgb="00FF6600"/>
        <bgColor rgb="00FF6600"/>
      </patternFill>
    </fill>
    <fill>
      <patternFill patternType="solid">
        <fgColor rgb="00FFFF00"/>
        <bgColor rgb="00FFFF00"/>
      </patternFill>
    </fill>
  </fills>
  <borders count="8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888888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39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bottom"/>
    </xf>
    <xf numFmtId="0" fontId="0" fillId="4" borderId="0" applyAlignment="1" pivotButton="0" quotePrefix="0" xfId="0">
      <alignment horizontal="general" vertical="bottom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11" fillId="12" borderId="1" applyAlignment="1" pivotButton="0" quotePrefix="0" xfId="0">
      <alignment horizontal="left" vertical="center" wrapText="1"/>
    </xf>
    <xf numFmtId="0" fontId="8" fillId="12" borderId="1" applyAlignment="1" pivotButton="0" quotePrefix="0" xfId="0">
      <alignment horizontal="center" vertical="center"/>
    </xf>
    <xf numFmtId="0" fontId="12" fillId="13" borderId="0" applyAlignment="1" pivotButton="0" quotePrefix="0" xfId="0">
      <alignment horizontal="center" vertical="center"/>
    </xf>
    <xf numFmtId="0" fontId="13" fillId="14" borderId="1" applyAlignment="1" pivotButton="0" quotePrefix="0" xfId="0">
      <alignment horizontal="left" vertical="center" wrapText="1"/>
    </xf>
    <xf numFmtId="0" fontId="13" fillId="10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0" fontId="15" fillId="15" borderId="0" applyAlignment="1" pivotButton="0" quotePrefix="0" xfId="0">
      <alignment horizontal="center" vertical="center"/>
    </xf>
    <xf numFmtId="0" fontId="16" fillId="16" borderId="0" applyAlignment="1" pivotButton="0" quotePrefix="0" xfId="0">
      <alignment horizontal="center" vertical="bottom"/>
    </xf>
    <xf numFmtId="0" fontId="17" fillId="17" borderId="1" applyAlignment="1" pivotButton="0" quotePrefix="0" xfId="0">
      <alignment horizontal="center" vertical="center"/>
    </xf>
    <xf numFmtId="0" fontId="17" fillId="17" borderId="1" applyAlignment="1" pivotButton="0" quotePrefix="0" xfId="0">
      <alignment horizontal="left" vertical="center"/>
    </xf>
    <xf numFmtId="0" fontId="18" fillId="18" borderId="1" applyAlignment="1" pivotButton="0" quotePrefix="0" xfId="0">
      <alignment horizontal="left" vertical="center"/>
    </xf>
    <xf numFmtId="0" fontId="17" fillId="19" borderId="1" applyAlignment="1" pivotButton="0" quotePrefix="0" xfId="0">
      <alignment horizontal="center" vertical="center"/>
    </xf>
    <xf numFmtId="0" fontId="17" fillId="19" borderId="1" applyAlignment="1" pivotButton="0" quotePrefix="0" xfId="0">
      <alignment horizontal="left" vertical="center"/>
    </xf>
    <xf numFmtId="0" fontId="19" fillId="17" borderId="1" applyAlignment="1" pivotButton="0" quotePrefix="0" xfId="0">
      <alignment horizontal="left" vertical="center"/>
    </xf>
    <xf numFmtId="0" fontId="18" fillId="4" borderId="1" applyAlignment="1" pivotButton="0" quotePrefix="0" xfId="0">
      <alignment horizontal="left" vertical="center"/>
    </xf>
    <xf numFmtId="0" fontId="19" fillId="19" borderId="1" applyAlignment="1" pivotButton="0" quotePrefix="0" xfId="0">
      <alignment horizontal="left" vertical="center"/>
    </xf>
    <xf numFmtId="0" fontId="17" fillId="20" borderId="1" applyAlignment="1" pivotButton="0" quotePrefix="0" xfId="0">
      <alignment horizontal="center" vertical="center"/>
    </xf>
    <xf numFmtId="0" fontId="19" fillId="20" borderId="1" applyAlignment="1" pivotButton="0" quotePrefix="0" xfId="0">
      <alignment horizontal="left" vertical="center"/>
    </xf>
    <xf numFmtId="0" fontId="11" fillId="4" borderId="1" applyAlignment="1" pivotButton="0" quotePrefix="0" xfId="0">
      <alignment horizontal="left" vertical="center"/>
    </xf>
    <xf numFmtId="0" fontId="17" fillId="21" borderId="1" applyAlignment="1" pivotButton="0" quotePrefix="0" xfId="0">
      <alignment horizontal="center" vertical="center"/>
    </xf>
    <xf numFmtId="0" fontId="17" fillId="21" borderId="1" applyAlignment="1" pivotButton="0" quotePrefix="0" xfId="0">
      <alignment horizontal="left" vertical="center"/>
    </xf>
    <xf numFmtId="0" fontId="20" fillId="0" borderId="0" applyAlignment="1" pivotButton="0" quotePrefix="0" xfId="0">
      <alignment horizontal="center" vertical="bottom"/>
    </xf>
    <xf numFmtId="0" fontId="15" fillId="5" borderId="0" applyAlignment="1" pivotButton="0" quotePrefix="0" xfId="0">
      <alignment horizontal="center" vertical="center"/>
    </xf>
    <xf numFmtId="0" fontId="16" fillId="3" borderId="0" applyAlignment="1" pivotButton="0" quotePrefix="0" xfId="0">
      <alignment horizontal="center" vertical="bottom"/>
    </xf>
    <xf numFmtId="0" fontId="21" fillId="22" borderId="2" applyAlignment="1" pivotButton="0" quotePrefix="0" xfId="0">
      <alignment horizontal="center" vertical="center" wrapText="1"/>
    </xf>
    <xf numFmtId="0" fontId="22" fillId="6" borderId="1" applyAlignment="1" pivotButton="0" quotePrefix="0" xfId="0">
      <alignment horizontal="left" vertical="center"/>
    </xf>
    <xf numFmtId="0" fontId="23" fillId="18" borderId="1" applyAlignment="1" pivotButton="0" quotePrefix="0" xfId="0">
      <alignment horizontal="center" vertical="center"/>
    </xf>
    <xf numFmtId="0" fontId="24" fillId="21" borderId="1" applyAlignment="1" pivotButton="0" quotePrefix="0" xfId="0">
      <alignment horizontal="center" vertical="center"/>
    </xf>
    <xf numFmtId="0" fontId="25" fillId="6" borderId="1" applyAlignment="1" pivotButton="0" quotePrefix="0" xfId="0">
      <alignment horizontal="left" vertical="center" wrapText="1"/>
    </xf>
    <xf numFmtId="0" fontId="22" fillId="8" borderId="1" applyAlignment="1" pivotButton="0" quotePrefix="0" xfId="0">
      <alignment horizontal="left" vertical="center"/>
    </xf>
    <xf numFmtId="0" fontId="25" fillId="8" borderId="1" applyAlignment="1" pivotButton="0" quotePrefix="0" xfId="0">
      <alignment horizontal="left" vertical="center" wrapText="1"/>
    </xf>
    <xf numFmtId="0" fontId="22" fillId="20" borderId="1" applyAlignment="1" pivotButton="0" quotePrefix="0" xfId="0">
      <alignment horizontal="left" vertical="center"/>
    </xf>
    <xf numFmtId="0" fontId="25" fillId="20" borderId="1" applyAlignment="1" pivotButton="0" quotePrefix="0" xfId="0">
      <alignment horizontal="left" vertical="center" wrapText="1"/>
    </xf>
    <xf numFmtId="0" fontId="25" fillId="12" borderId="1" applyAlignment="1" pivotButton="0" quotePrefix="0" xfId="0">
      <alignment horizontal="left" vertical="center"/>
    </xf>
    <xf numFmtId="0" fontId="18" fillId="18" borderId="1" applyAlignment="1" pivotButton="0" quotePrefix="0" xfId="0">
      <alignment horizontal="center" vertical="center"/>
    </xf>
    <xf numFmtId="0" fontId="26" fillId="12" borderId="1" applyAlignment="1" pivotButton="0" quotePrefix="0" xfId="0">
      <alignment horizontal="center" vertical="center"/>
    </xf>
    <xf numFmtId="0" fontId="25" fillId="12" borderId="1" applyAlignment="1" pivotButton="0" quotePrefix="0" xfId="0">
      <alignment horizontal="left" vertical="center" wrapText="1"/>
    </xf>
    <xf numFmtId="0" fontId="22" fillId="21" borderId="1" applyAlignment="1" pivotButton="0" quotePrefix="0" xfId="0">
      <alignment horizontal="left" vertical="center"/>
    </xf>
    <xf numFmtId="0" fontId="9" fillId="18" borderId="1" applyAlignment="1" pivotButton="0" quotePrefix="0" xfId="0">
      <alignment horizontal="center" vertical="center"/>
    </xf>
    <xf numFmtId="4" fontId="24" fillId="21" borderId="1" applyAlignment="1" pivotButton="0" quotePrefix="0" xfId="0">
      <alignment horizontal="center" vertical="center"/>
    </xf>
    <xf numFmtId="0" fontId="25" fillId="21" borderId="1" applyAlignment="1" pivotButton="0" quotePrefix="0" xfId="0">
      <alignment horizontal="left" vertical="center" wrapText="1"/>
    </xf>
    <xf numFmtId="0" fontId="25" fillId="10" borderId="1" applyAlignment="1" pivotButton="0" quotePrefix="0" xfId="0">
      <alignment horizontal="left" vertical="center"/>
    </xf>
    <xf numFmtId="0" fontId="26" fillId="10" borderId="1" applyAlignment="1" pivotButton="0" quotePrefix="0" xfId="0">
      <alignment horizontal="center" vertical="center"/>
    </xf>
    <xf numFmtId="0" fontId="25" fillId="10" borderId="1" applyAlignment="1" pivotButton="0" quotePrefix="0" xfId="0">
      <alignment horizontal="left" vertical="center" wrapText="1"/>
    </xf>
    <xf numFmtId="0" fontId="12" fillId="7" borderId="0" applyAlignment="1" pivotButton="0" quotePrefix="0" xfId="0">
      <alignment horizontal="center" vertical="center"/>
    </xf>
    <xf numFmtId="0" fontId="27" fillId="23" borderId="2" applyAlignment="1" pivotButton="0" quotePrefix="0" xfId="0">
      <alignment horizontal="center" vertical="center" wrapText="1"/>
    </xf>
    <xf numFmtId="0" fontId="28" fillId="24" borderId="1" applyAlignment="1" pivotButton="0" quotePrefix="0" xfId="0">
      <alignment horizontal="left" vertical="center"/>
    </xf>
    <xf numFmtId="0" fontId="19" fillId="18" borderId="1" applyAlignment="1" pivotButton="0" quotePrefix="0" xfId="0">
      <alignment horizontal="center" vertical="center"/>
    </xf>
    <xf numFmtId="4" fontId="19" fillId="18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30" fillId="24" borderId="1" applyAlignment="1" pivotButton="0" quotePrefix="0" xfId="0">
      <alignment horizontal="left" vertical="center" wrapText="1"/>
    </xf>
    <xf numFmtId="0" fontId="25" fillId="20" borderId="1" applyAlignment="1" pivotButton="0" quotePrefix="0" xfId="0">
      <alignment horizontal="left" vertical="center"/>
    </xf>
    <xf numFmtId="0" fontId="20" fillId="20" borderId="1" applyAlignment="1" pivotButton="0" quotePrefix="0" xfId="0">
      <alignment horizontal="center" vertical="center"/>
    </xf>
    <xf numFmtId="0" fontId="30" fillId="20" borderId="1" applyAlignment="1" pivotButton="0" quotePrefix="0" xfId="0">
      <alignment horizontal="left" vertical="center" wrapText="1"/>
    </xf>
    <xf numFmtId="0" fontId="20" fillId="12" borderId="1" applyAlignment="1" pivotButton="0" quotePrefix="0" xfId="0">
      <alignment horizontal="center" vertical="center"/>
    </xf>
    <xf numFmtId="0" fontId="30" fillId="12" borderId="1" applyAlignment="1" pivotButton="0" quotePrefix="0" xfId="0">
      <alignment horizontal="left" vertical="center" wrapText="1"/>
    </xf>
    <xf numFmtId="0" fontId="25" fillId="25" borderId="1" applyAlignment="1" pivotButton="0" quotePrefix="0" xfId="0">
      <alignment horizontal="left" vertical="center"/>
    </xf>
    <xf numFmtId="0" fontId="20" fillId="25" borderId="1" applyAlignment="1" pivotButton="0" quotePrefix="0" xfId="0">
      <alignment horizontal="center" vertical="center"/>
    </xf>
    <xf numFmtId="0" fontId="30" fillId="25" borderId="1" applyAlignment="1" pivotButton="0" quotePrefix="0" xfId="0">
      <alignment horizontal="left" vertical="center" wrapText="1"/>
    </xf>
    <xf numFmtId="0" fontId="25" fillId="21" borderId="1" applyAlignment="1" pivotButton="0" quotePrefix="0" xfId="0">
      <alignment horizontal="left" vertical="center"/>
    </xf>
    <xf numFmtId="0" fontId="20" fillId="21" borderId="1" applyAlignment="1" pivotButton="0" quotePrefix="0" xfId="0">
      <alignment horizontal="center" vertical="center"/>
    </xf>
    <xf numFmtId="0" fontId="30" fillId="21" borderId="1" applyAlignment="1" pivotButton="0" quotePrefix="0" xfId="0">
      <alignment horizontal="left" vertical="center" wrapText="1"/>
    </xf>
    <xf numFmtId="0" fontId="25" fillId="17" borderId="1" applyAlignment="1" pivotButton="0" quotePrefix="0" xfId="0">
      <alignment horizontal="left" vertical="center"/>
    </xf>
    <xf numFmtId="0" fontId="20" fillId="17" borderId="1" applyAlignment="1" pivotButton="0" quotePrefix="0" xfId="0">
      <alignment horizontal="center" vertical="center"/>
    </xf>
    <xf numFmtId="0" fontId="30" fillId="17" borderId="1" applyAlignment="1" pivotButton="0" quotePrefix="0" xfId="0">
      <alignment horizontal="left" vertical="center" wrapText="1"/>
    </xf>
    <xf numFmtId="0" fontId="25" fillId="26" borderId="1" applyAlignment="1" pivotButton="0" quotePrefix="0" xfId="0">
      <alignment horizontal="left" vertical="center"/>
    </xf>
    <xf numFmtId="0" fontId="20" fillId="26" borderId="1" applyAlignment="1" pivotButton="0" quotePrefix="0" xfId="0">
      <alignment horizontal="center" vertical="center"/>
    </xf>
    <xf numFmtId="0" fontId="30" fillId="26" borderId="1" applyAlignment="1" pivotButton="0" quotePrefix="0" xfId="0">
      <alignment horizontal="left" vertical="center" wrapText="1"/>
    </xf>
    <xf numFmtId="0" fontId="15" fillId="11" borderId="0" applyAlignment="1" pivotButton="0" quotePrefix="0" xfId="0">
      <alignment horizontal="center" vertical="center"/>
    </xf>
    <xf numFmtId="0" fontId="16" fillId="27" borderId="0" applyAlignment="1" pivotButton="0" quotePrefix="0" xfId="0">
      <alignment horizontal="center" vertical="bottom"/>
    </xf>
    <xf numFmtId="0" fontId="6" fillId="28" borderId="0" applyAlignment="1" pivotButton="0" quotePrefix="0" xfId="0">
      <alignment horizontal="center" vertical="center"/>
    </xf>
    <xf numFmtId="0" fontId="31" fillId="29" borderId="1" applyAlignment="1" pivotButton="0" quotePrefix="0" xfId="0">
      <alignment horizontal="center" vertical="center"/>
    </xf>
    <xf numFmtId="0" fontId="32" fillId="29" borderId="3" applyAlignment="1" pivotButton="0" quotePrefix="0" xfId="0">
      <alignment horizontal="left" vertical="center"/>
    </xf>
    <xf numFmtId="0" fontId="31" fillId="21" borderId="1" applyAlignment="1" pivotButton="0" quotePrefix="0" xfId="0">
      <alignment horizontal="center" vertical="center"/>
    </xf>
    <xf numFmtId="0" fontId="32" fillId="21" borderId="3" applyAlignment="1" pivotButton="0" quotePrefix="0" xfId="0">
      <alignment horizontal="left" vertical="center"/>
    </xf>
    <xf numFmtId="0" fontId="31" fillId="30" borderId="1" applyAlignment="1" pivotButton="0" quotePrefix="0" xfId="0">
      <alignment horizontal="center" vertical="center"/>
    </xf>
    <xf numFmtId="0" fontId="32" fillId="30" borderId="3" applyAlignment="1" pivotButton="0" quotePrefix="0" xfId="0">
      <alignment horizontal="left" vertical="center"/>
    </xf>
    <xf numFmtId="0" fontId="12" fillId="31" borderId="0" applyAlignment="1" pivotButton="0" quotePrefix="0" xfId="0">
      <alignment horizontal="center" vertical="center"/>
    </xf>
    <xf numFmtId="0" fontId="21" fillId="28" borderId="2" applyAlignment="1" pivotButton="0" quotePrefix="0" xfId="0">
      <alignment horizontal="center" vertical="center" wrapText="1"/>
    </xf>
    <xf numFmtId="0" fontId="33" fillId="26" borderId="1" applyAlignment="1" pivotButton="0" quotePrefix="0" xfId="0">
      <alignment horizontal="left" vertical="center"/>
    </xf>
    <xf numFmtId="0" fontId="25" fillId="18" borderId="1" applyAlignment="1" pivotButton="0" quotePrefix="0" xfId="0">
      <alignment horizontal="center" vertical="center"/>
    </xf>
    <xf numFmtId="0" fontId="34" fillId="18" borderId="1" applyAlignment="1" pivotButton="0" quotePrefix="0" xfId="0">
      <alignment horizontal="center" vertical="center"/>
    </xf>
    <xf numFmtId="4" fontId="9" fillId="30" borderId="1" applyAlignment="1" pivotButton="0" quotePrefix="0" xfId="0">
      <alignment horizontal="center" vertical="center"/>
    </xf>
    <xf numFmtId="0" fontId="25" fillId="26" borderId="1" applyAlignment="1" pivotButton="0" quotePrefix="0" xfId="0">
      <alignment horizontal="center" vertical="center"/>
    </xf>
    <xf numFmtId="0" fontId="33" fillId="32" borderId="1" applyAlignment="1" pivotButton="0" quotePrefix="0" xfId="0">
      <alignment horizontal="left" vertical="center"/>
    </xf>
    <xf numFmtId="0" fontId="25" fillId="32" borderId="1" applyAlignment="1" pivotButton="0" quotePrefix="0" xfId="0">
      <alignment horizontal="left" vertical="center"/>
    </xf>
    <xf numFmtId="0" fontId="25" fillId="32" borderId="1" applyAlignment="1" pivotButton="0" quotePrefix="0" xfId="0">
      <alignment horizontal="center" vertical="center"/>
    </xf>
    <xf numFmtId="0" fontId="30" fillId="32" borderId="1" applyAlignment="1" pivotButton="0" quotePrefix="0" xfId="0">
      <alignment horizontal="left" vertical="center" wrapText="1"/>
    </xf>
    <xf numFmtId="0" fontId="12" fillId="2" borderId="1" applyAlignment="1" pivotButton="0" quotePrefix="0" xfId="0">
      <alignment horizontal="left" vertical="center"/>
    </xf>
    <xf numFmtId="4" fontId="4" fillId="11" borderId="0" applyAlignment="1" pivotButton="0" quotePrefix="0" xfId="0">
      <alignment horizontal="center" vertical="center"/>
    </xf>
    <xf numFmtId="0" fontId="6" fillId="31" borderId="0" applyAlignment="1" pivotButton="0" quotePrefix="0" xfId="0">
      <alignment horizontal="center" vertical="center"/>
    </xf>
    <xf numFmtId="0" fontId="19" fillId="26" borderId="1" applyAlignment="1" pivotButton="0" quotePrefix="0" xfId="0">
      <alignment horizontal="left" vertical="center"/>
    </xf>
    <xf numFmtId="0" fontId="7" fillId="18" borderId="1" applyAlignment="1" pivotButton="0" quotePrefix="0" xfId="0">
      <alignment horizontal="center" vertical="center"/>
    </xf>
    <xf numFmtId="0" fontId="19" fillId="32" borderId="1" applyAlignment="1" pivotButton="0" quotePrefix="0" xfId="0">
      <alignment horizontal="left" vertical="center"/>
    </xf>
    <xf numFmtId="0" fontId="10" fillId="18" borderId="1" applyAlignment="1" pivotButton="0" quotePrefix="0" xfId="0">
      <alignment horizontal="center" vertical="center"/>
    </xf>
    <xf numFmtId="0" fontId="11" fillId="18" borderId="1" applyAlignment="1" pivotButton="0" quotePrefix="0" xfId="0">
      <alignment horizontal="center" vertical="center"/>
    </xf>
    <xf numFmtId="0" fontId="35" fillId="18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/>
    </xf>
    <xf numFmtId="4" fontId="36" fillId="3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bottom"/>
    </xf>
    <xf numFmtId="0" fontId="0" fillId="4" borderId="0" applyAlignment="1" pivotButton="0" quotePrefix="0" xfId="0">
      <alignment horizontal="general" vertical="bottom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11" fillId="12" borderId="1" applyAlignment="1" pivotButton="0" quotePrefix="0" xfId="0">
      <alignment horizontal="left" vertical="center" wrapText="1"/>
    </xf>
    <xf numFmtId="0" fontId="8" fillId="12" borderId="1" applyAlignment="1" pivotButton="0" quotePrefix="0" xfId="0">
      <alignment horizontal="center" vertical="center"/>
    </xf>
    <xf numFmtId="0" fontId="12" fillId="13" borderId="0" applyAlignment="1" pivotButton="0" quotePrefix="0" xfId="0">
      <alignment horizontal="center" vertical="center"/>
    </xf>
    <xf numFmtId="0" fontId="13" fillId="14" borderId="1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7" pivotButton="0" quotePrefix="0" xfId="0"/>
    <xf numFmtId="0" fontId="13" fillId="10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0" fontId="37" fillId="0" borderId="0" applyAlignment="1" pivotButton="0" quotePrefix="0" xfId="0">
      <alignment horizontal="left" vertical="center"/>
    </xf>
    <xf numFmtId="0" fontId="38" fillId="0" borderId="0" pivotButton="0" quotePrefix="0" xfId="0"/>
    <xf numFmtId="0" fontId="39" fillId="33" borderId="0" applyAlignment="1" pivotButton="0" quotePrefix="0" xfId="0">
      <alignment horizontal="left" vertical="center"/>
    </xf>
    <xf numFmtId="0" fontId="40" fillId="34" borderId="0" applyAlignment="1" pivotButton="0" quotePrefix="0" xfId="0">
      <alignment horizontal="left" vertical="center"/>
    </xf>
    <xf numFmtId="0" fontId="41" fillId="0" borderId="0" applyAlignment="1" pivotButton="0" quotePrefix="0" xfId="0">
      <alignment horizontal="left" vertical="top" wrapText="1"/>
    </xf>
    <xf numFmtId="0" fontId="42" fillId="0" borderId="0" pivotButton="0" quotePrefix="0" xfId="0"/>
    <xf numFmtId="0" fontId="38" fillId="35" borderId="0" pivotButton="0" quotePrefix="0" xfId="0"/>
    <xf numFmtId="0" fontId="41" fillId="0" borderId="0" applyAlignment="1" pivotButton="0" quotePrefix="0" xfId="0">
      <alignment wrapText="1"/>
    </xf>
    <xf numFmtId="0" fontId="15" fillId="15" borderId="0" applyAlignment="1" pivotButton="0" quotePrefix="0" xfId="0">
      <alignment horizontal="center" vertical="center"/>
    </xf>
    <xf numFmtId="0" fontId="16" fillId="16" borderId="0" applyAlignment="1" pivotButton="0" quotePrefix="0" xfId="0">
      <alignment horizontal="center" vertical="bottom"/>
    </xf>
    <xf numFmtId="0" fontId="17" fillId="17" borderId="1" applyAlignment="1" pivotButton="0" quotePrefix="0" xfId="0">
      <alignment horizontal="center" vertical="center"/>
    </xf>
    <xf numFmtId="0" fontId="17" fillId="17" borderId="1" applyAlignment="1" pivotButton="0" quotePrefix="0" xfId="0">
      <alignment horizontal="left" vertical="center"/>
    </xf>
    <xf numFmtId="0" fontId="18" fillId="18" borderId="1" applyAlignment="1" pivotButton="0" quotePrefix="0" xfId="0">
      <alignment horizontal="left" vertical="center"/>
    </xf>
    <xf numFmtId="0" fontId="17" fillId="19" borderId="1" applyAlignment="1" pivotButton="0" quotePrefix="0" xfId="0">
      <alignment horizontal="center" vertical="center"/>
    </xf>
    <xf numFmtId="0" fontId="17" fillId="19" borderId="1" applyAlignment="1" pivotButton="0" quotePrefix="0" xfId="0">
      <alignment horizontal="left" vertical="center"/>
    </xf>
    <xf numFmtId="0" fontId="19" fillId="17" borderId="1" applyAlignment="1" pivotButton="0" quotePrefix="0" xfId="0">
      <alignment horizontal="left" vertical="center"/>
    </xf>
    <xf numFmtId="0" fontId="18" fillId="4" borderId="1" applyAlignment="1" pivotButton="0" quotePrefix="0" xfId="0">
      <alignment horizontal="left" vertical="center"/>
    </xf>
    <xf numFmtId="0" fontId="19" fillId="19" borderId="1" applyAlignment="1" pivotButton="0" quotePrefix="0" xfId="0">
      <alignment horizontal="left" vertical="center"/>
    </xf>
    <xf numFmtId="0" fontId="17" fillId="20" borderId="1" applyAlignment="1" pivotButton="0" quotePrefix="0" xfId="0">
      <alignment horizontal="center" vertical="center"/>
    </xf>
    <xf numFmtId="0" fontId="19" fillId="20" borderId="1" applyAlignment="1" pivotButton="0" quotePrefix="0" xfId="0">
      <alignment horizontal="left" vertical="center"/>
    </xf>
    <xf numFmtId="0" fontId="11" fillId="4" borderId="1" applyAlignment="1" pivotButton="0" quotePrefix="0" xfId="0">
      <alignment horizontal="left" vertical="center"/>
    </xf>
    <xf numFmtId="0" fontId="17" fillId="21" borderId="1" applyAlignment="1" pivotButton="0" quotePrefix="0" xfId="0">
      <alignment horizontal="center" vertical="center"/>
    </xf>
    <xf numFmtId="0" fontId="17" fillId="21" borderId="1" applyAlignment="1" pivotButton="0" quotePrefix="0" xfId="0">
      <alignment horizontal="left" vertical="center"/>
    </xf>
    <xf numFmtId="0" fontId="20" fillId="0" borderId="0" applyAlignment="1" pivotButton="0" quotePrefix="0" xfId="0">
      <alignment horizontal="center" vertical="bottom"/>
    </xf>
    <xf numFmtId="0" fontId="15" fillId="5" borderId="0" applyAlignment="1" pivotButton="0" quotePrefix="0" xfId="0">
      <alignment horizontal="center" vertical="center"/>
    </xf>
    <xf numFmtId="0" fontId="16" fillId="3" borderId="0" applyAlignment="1" pivotButton="0" quotePrefix="0" xfId="0">
      <alignment horizontal="center" vertical="bottom"/>
    </xf>
    <xf numFmtId="0" fontId="21" fillId="22" borderId="2" applyAlignment="1" pivotButton="0" quotePrefix="0" xfId="0">
      <alignment horizontal="center" vertical="center" wrapText="1"/>
    </xf>
    <xf numFmtId="0" fontId="22" fillId="6" borderId="1" applyAlignment="1" pivotButton="0" quotePrefix="0" xfId="0">
      <alignment horizontal="left" vertical="center"/>
    </xf>
    <xf numFmtId="0" fontId="23" fillId="18" borderId="1" applyAlignment="1" pivotButton="0" quotePrefix="0" xfId="0">
      <alignment horizontal="center" vertical="center"/>
    </xf>
    <xf numFmtId="0" fontId="24" fillId="21" borderId="1" applyAlignment="1" pivotButton="0" quotePrefix="0" xfId="0">
      <alignment horizontal="center" vertical="center"/>
    </xf>
    <xf numFmtId="0" fontId="25" fillId="6" borderId="1" applyAlignment="1" pivotButton="0" quotePrefix="0" xfId="0">
      <alignment horizontal="left" vertical="center" wrapText="1"/>
    </xf>
    <xf numFmtId="0" fontId="22" fillId="8" borderId="1" applyAlignment="1" pivotButton="0" quotePrefix="0" xfId="0">
      <alignment horizontal="left" vertical="center"/>
    </xf>
    <xf numFmtId="0" fontId="25" fillId="8" borderId="1" applyAlignment="1" pivotButton="0" quotePrefix="0" xfId="0">
      <alignment horizontal="left" vertical="center" wrapText="1"/>
    </xf>
    <xf numFmtId="0" fontId="22" fillId="20" borderId="1" applyAlignment="1" pivotButton="0" quotePrefix="0" xfId="0">
      <alignment horizontal="left" vertical="center"/>
    </xf>
    <xf numFmtId="0" fontId="25" fillId="20" borderId="1" applyAlignment="1" pivotButton="0" quotePrefix="0" xfId="0">
      <alignment horizontal="left" vertical="center" wrapText="1"/>
    </xf>
    <xf numFmtId="0" fontId="25" fillId="12" borderId="1" applyAlignment="1" pivotButton="0" quotePrefix="0" xfId="0">
      <alignment horizontal="left" vertical="center"/>
    </xf>
    <xf numFmtId="0" fontId="18" fillId="18" borderId="1" applyAlignment="1" pivotButton="0" quotePrefix="0" xfId="0">
      <alignment horizontal="center" vertical="center"/>
    </xf>
    <xf numFmtId="0" fontId="26" fillId="12" borderId="1" applyAlignment="1" pivotButton="0" quotePrefix="0" xfId="0">
      <alignment horizontal="center" vertical="center"/>
    </xf>
    <xf numFmtId="0" fontId="25" fillId="12" borderId="1" applyAlignment="1" pivotButton="0" quotePrefix="0" xfId="0">
      <alignment horizontal="left" vertical="center" wrapText="1"/>
    </xf>
    <xf numFmtId="0" fontId="22" fillId="21" borderId="1" applyAlignment="1" pivotButton="0" quotePrefix="0" xfId="0">
      <alignment horizontal="left" vertical="center"/>
    </xf>
    <xf numFmtId="0" fontId="9" fillId="18" borderId="1" applyAlignment="1" pivotButton="0" quotePrefix="0" xfId="0">
      <alignment horizontal="center" vertical="center"/>
    </xf>
    <xf numFmtId="4" fontId="24" fillId="21" borderId="1" applyAlignment="1" pivotButton="0" quotePrefix="0" xfId="0">
      <alignment horizontal="center" vertical="center"/>
    </xf>
    <xf numFmtId="0" fontId="25" fillId="21" borderId="1" applyAlignment="1" pivotButton="0" quotePrefix="0" xfId="0">
      <alignment horizontal="left" vertical="center" wrapText="1"/>
    </xf>
    <xf numFmtId="0" fontId="25" fillId="10" borderId="1" applyAlignment="1" pivotButton="0" quotePrefix="0" xfId="0">
      <alignment horizontal="left" vertical="center"/>
    </xf>
    <xf numFmtId="0" fontId="26" fillId="10" borderId="1" applyAlignment="1" pivotButton="0" quotePrefix="0" xfId="0">
      <alignment horizontal="center" vertical="center"/>
    </xf>
    <xf numFmtId="0" fontId="25" fillId="10" borderId="1" applyAlignment="1" pivotButton="0" quotePrefix="0" xfId="0">
      <alignment horizontal="left" vertical="center" wrapText="1"/>
    </xf>
    <xf numFmtId="0" fontId="12" fillId="7" borderId="0" applyAlignment="1" pivotButton="0" quotePrefix="0" xfId="0">
      <alignment horizontal="center" vertical="center"/>
    </xf>
    <xf numFmtId="0" fontId="27" fillId="23" borderId="2" applyAlignment="1" pivotButton="0" quotePrefix="0" xfId="0">
      <alignment horizontal="center" vertical="center" wrapText="1"/>
    </xf>
    <xf numFmtId="0" fontId="28" fillId="24" borderId="1" applyAlignment="1" pivotButton="0" quotePrefix="0" xfId="0">
      <alignment horizontal="left" vertical="center"/>
    </xf>
    <xf numFmtId="0" fontId="19" fillId="18" borderId="1" applyAlignment="1" pivotButton="0" quotePrefix="0" xfId="0">
      <alignment horizontal="center" vertical="center"/>
    </xf>
    <xf numFmtId="4" fontId="19" fillId="18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30" fillId="24" borderId="1" applyAlignment="1" pivotButton="0" quotePrefix="0" xfId="0">
      <alignment horizontal="left" vertical="center" wrapText="1"/>
    </xf>
    <xf numFmtId="0" fontId="25" fillId="20" borderId="1" applyAlignment="1" pivotButton="0" quotePrefix="0" xfId="0">
      <alignment horizontal="left" vertical="center"/>
    </xf>
    <xf numFmtId="0" fontId="20" fillId="20" borderId="1" applyAlignment="1" pivotButton="0" quotePrefix="0" xfId="0">
      <alignment horizontal="center" vertical="center"/>
    </xf>
    <xf numFmtId="0" fontId="30" fillId="20" borderId="1" applyAlignment="1" pivotButton="0" quotePrefix="0" xfId="0">
      <alignment horizontal="left" vertical="center" wrapText="1"/>
    </xf>
    <xf numFmtId="0" fontId="20" fillId="12" borderId="1" applyAlignment="1" pivotButton="0" quotePrefix="0" xfId="0">
      <alignment horizontal="center" vertical="center"/>
    </xf>
    <xf numFmtId="0" fontId="30" fillId="12" borderId="1" applyAlignment="1" pivotButton="0" quotePrefix="0" xfId="0">
      <alignment horizontal="left" vertical="center" wrapText="1"/>
    </xf>
    <xf numFmtId="0" fontId="25" fillId="25" borderId="1" applyAlignment="1" pivotButton="0" quotePrefix="0" xfId="0">
      <alignment horizontal="left" vertical="center"/>
    </xf>
    <xf numFmtId="0" fontId="20" fillId="25" borderId="1" applyAlignment="1" pivotButton="0" quotePrefix="0" xfId="0">
      <alignment horizontal="center" vertical="center"/>
    </xf>
    <xf numFmtId="0" fontId="30" fillId="25" borderId="1" applyAlignment="1" pivotButton="0" quotePrefix="0" xfId="0">
      <alignment horizontal="left" vertical="center" wrapText="1"/>
    </xf>
    <xf numFmtId="0" fontId="25" fillId="21" borderId="1" applyAlignment="1" pivotButton="0" quotePrefix="0" xfId="0">
      <alignment horizontal="left" vertical="center"/>
    </xf>
    <xf numFmtId="0" fontId="20" fillId="21" borderId="1" applyAlignment="1" pivotButton="0" quotePrefix="0" xfId="0">
      <alignment horizontal="center" vertical="center"/>
    </xf>
    <xf numFmtId="0" fontId="30" fillId="21" borderId="1" applyAlignment="1" pivotButton="0" quotePrefix="0" xfId="0">
      <alignment horizontal="left" vertical="center" wrapText="1"/>
    </xf>
    <xf numFmtId="0" fontId="25" fillId="17" borderId="1" applyAlignment="1" pivotButton="0" quotePrefix="0" xfId="0">
      <alignment horizontal="left" vertical="center"/>
    </xf>
    <xf numFmtId="0" fontId="20" fillId="17" borderId="1" applyAlignment="1" pivotButton="0" quotePrefix="0" xfId="0">
      <alignment horizontal="center" vertical="center"/>
    </xf>
    <xf numFmtId="0" fontId="30" fillId="17" borderId="1" applyAlignment="1" pivotButton="0" quotePrefix="0" xfId="0">
      <alignment horizontal="left" vertical="center" wrapText="1"/>
    </xf>
    <xf numFmtId="0" fontId="25" fillId="26" borderId="1" applyAlignment="1" pivotButton="0" quotePrefix="0" xfId="0">
      <alignment horizontal="left" vertical="center"/>
    </xf>
    <xf numFmtId="0" fontId="20" fillId="26" borderId="1" applyAlignment="1" pivotButton="0" quotePrefix="0" xfId="0">
      <alignment horizontal="center" vertical="center"/>
    </xf>
    <xf numFmtId="0" fontId="30" fillId="26" borderId="1" applyAlignment="1" pivotButton="0" quotePrefix="0" xfId="0">
      <alignment horizontal="left" vertical="center" wrapText="1"/>
    </xf>
    <xf numFmtId="0" fontId="15" fillId="11" borderId="0" applyAlignment="1" pivotButton="0" quotePrefix="0" xfId="0">
      <alignment horizontal="center" vertical="center"/>
    </xf>
    <xf numFmtId="0" fontId="16" fillId="27" borderId="0" applyAlignment="1" pivotButton="0" quotePrefix="0" xfId="0">
      <alignment horizontal="center" vertical="bottom"/>
    </xf>
    <xf numFmtId="0" fontId="6" fillId="28" borderId="0" applyAlignment="1" pivotButton="0" quotePrefix="0" xfId="0">
      <alignment horizontal="center" vertical="center"/>
    </xf>
    <xf numFmtId="0" fontId="31" fillId="29" borderId="1" applyAlignment="1" pivotButton="0" quotePrefix="0" xfId="0">
      <alignment horizontal="center" vertical="center"/>
    </xf>
    <xf numFmtId="0" fontId="32" fillId="29" borderId="3" applyAlignment="1" pivotButton="0" quotePrefix="0" xfId="0">
      <alignment horizontal="left" vertical="center"/>
    </xf>
    <xf numFmtId="0" fontId="31" fillId="21" borderId="1" applyAlignment="1" pivotButton="0" quotePrefix="0" xfId="0">
      <alignment horizontal="center" vertical="center"/>
    </xf>
    <xf numFmtId="0" fontId="32" fillId="21" borderId="3" applyAlignment="1" pivotButton="0" quotePrefix="0" xfId="0">
      <alignment horizontal="left" vertical="center"/>
    </xf>
    <xf numFmtId="0" fontId="31" fillId="30" borderId="1" applyAlignment="1" pivotButton="0" quotePrefix="0" xfId="0">
      <alignment horizontal="center" vertical="center"/>
    </xf>
    <xf numFmtId="0" fontId="32" fillId="30" borderId="3" applyAlignment="1" pivotButton="0" quotePrefix="0" xfId="0">
      <alignment horizontal="left" vertical="center"/>
    </xf>
    <xf numFmtId="0" fontId="12" fillId="31" borderId="0" applyAlignment="1" pivotButton="0" quotePrefix="0" xfId="0">
      <alignment horizontal="center" vertical="center"/>
    </xf>
    <xf numFmtId="0" fontId="21" fillId="28" borderId="2" applyAlignment="1" pivotButton="0" quotePrefix="0" xfId="0">
      <alignment horizontal="center" vertical="center" wrapText="1"/>
    </xf>
    <xf numFmtId="0" fontId="33" fillId="26" borderId="1" applyAlignment="1" pivotButton="0" quotePrefix="0" xfId="0">
      <alignment horizontal="left" vertical="center"/>
    </xf>
    <xf numFmtId="0" fontId="25" fillId="18" borderId="1" applyAlignment="1" pivotButton="0" quotePrefix="0" xfId="0">
      <alignment horizontal="center" vertical="center"/>
    </xf>
    <xf numFmtId="0" fontId="34" fillId="18" borderId="1" applyAlignment="1" pivotButton="0" quotePrefix="0" xfId="0">
      <alignment horizontal="center" vertical="center"/>
    </xf>
    <xf numFmtId="4" fontId="9" fillId="30" borderId="1" applyAlignment="1" pivotButton="0" quotePrefix="0" xfId="0">
      <alignment horizontal="center" vertical="center"/>
    </xf>
    <xf numFmtId="0" fontId="25" fillId="26" borderId="1" applyAlignment="1" pivotButton="0" quotePrefix="0" xfId="0">
      <alignment horizontal="center" vertical="center"/>
    </xf>
    <xf numFmtId="0" fontId="33" fillId="32" borderId="1" applyAlignment="1" pivotButton="0" quotePrefix="0" xfId="0">
      <alignment horizontal="left" vertical="center"/>
    </xf>
    <xf numFmtId="0" fontId="25" fillId="32" borderId="1" applyAlignment="1" pivotButton="0" quotePrefix="0" xfId="0">
      <alignment horizontal="left" vertical="center"/>
    </xf>
    <xf numFmtId="0" fontId="25" fillId="32" borderId="1" applyAlignment="1" pivotButton="0" quotePrefix="0" xfId="0">
      <alignment horizontal="center" vertical="center"/>
    </xf>
    <xf numFmtId="0" fontId="30" fillId="32" borderId="1" applyAlignment="1" pivotButton="0" quotePrefix="0" xfId="0">
      <alignment horizontal="left" vertical="center" wrapText="1"/>
    </xf>
    <xf numFmtId="0" fontId="12" fillId="2" borderId="1" applyAlignment="1" pivotButton="0" quotePrefix="0" xfId="0">
      <alignment horizontal="left" vertical="center"/>
    </xf>
    <xf numFmtId="4" fontId="4" fillId="11" borderId="0" applyAlignment="1" pivotButton="0" quotePrefix="0" xfId="0">
      <alignment horizontal="center" vertical="center"/>
    </xf>
    <xf numFmtId="0" fontId="6" fillId="31" borderId="0" applyAlignment="1" pivotButton="0" quotePrefix="0" xfId="0">
      <alignment horizontal="center" vertical="center"/>
    </xf>
    <xf numFmtId="0" fontId="19" fillId="26" borderId="1" applyAlignment="1" pivotButton="0" quotePrefix="0" xfId="0">
      <alignment horizontal="left" vertical="center"/>
    </xf>
    <xf numFmtId="0" fontId="7" fillId="18" borderId="1" applyAlignment="1" pivotButton="0" quotePrefix="0" xfId="0">
      <alignment horizontal="center" vertical="center"/>
    </xf>
    <xf numFmtId="0" fontId="19" fillId="32" borderId="1" applyAlignment="1" pivotButton="0" quotePrefix="0" xfId="0">
      <alignment horizontal="left" vertical="center"/>
    </xf>
    <xf numFmtId="0" fontId="10" fillId="18" borderId="1" applyAlignment="1" pivotButton="0" quotePrefix="0" xfId="0">
      <alignment horizontal="center" vertical="center"/>
    </xf>
    <xf numFmtId="0" fontId="11" fillId="18" borderId="1" applyAlignment="1" pivotButton="0" quotePrefix="0" xfId="0">
      <alignment horizontal="center" vertical="center"/>
    </xf>
    <xf numFmtId="0" fontId="35" fillId="18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/>
    </xf>
    <xf numFmtId="4" fontId="36" fillId="30" borderId="1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C4400"/>
      <rgbColor rgb="FF00FF00"/>
      <rgbColor rgb="FF0000FF"/>
      <rgbColor rgb="FFFEF9E7"/>
      <rgbColor rgb="FFFF00FF"/>
      <rgbColor rgb="FF00FFFF"/>
      <rgbColor rgb="FF7B241C"/>
      <rgbColor rgb="FF145A32"/>
      <rgbColor rgb="FF1A0A2E"/>
      <rgbColor rgb="FF808000"/>
      <rgbColor rgb="FF800080"/>
      <rgbColor rgb="FF008080"/>
      <rgbColor rgb="FFCCCCCC"/>
      <rgbColor rgb="FF888888"/>
      <rgbColor rgb="FFAAAAAA"/>
      <rgbColor rgb="FF7D3C98"/>
      <rgbColor rgb="FFFFFDE7"/>
      <rgbColor rgb="FFE8F8F0"/>
      <rgbColor rgb="FF660066"/>
      <rgbColor rgb="FFF4F6F7"/>
      <rgbColor rgb="FF0066CC"/>
      <rgbColor rgb="FFE8EAF6"/>
      <rgbColor rgb="FF1A0A00"/>
      <rgbColor rgb="FFFF00FF"/>
      <rgbColor rgb="FFFDF2E9"/>
      <rgbColor rgb="FF00FFFF"/>
      <rgbColor rgb="FF800080"/>
      <rgbColor rgb="FF800000"/>
      <rgbColor rgb="FF008080"/>
      <rgbColor rgb="FF0000FF"/>
      <rgbColor rgb="FF00CCFF"/>
      <rgbColor rgb="FFD6EAF8"/>
      <rgbColor rgb="FFD5F5E3"/>
      <rgbColor rgb="FFFFF3CD"/>
      <rgbColor rgb="FFF3E5F5"/>
      <rgbColor rgb="FFFDECEA"/>
      <rgbColor rgb="FFF5EEF8"/>
      <rgbColor rgb="FFFFD6D6"/>
      <rgbColor rgb="FF2E86C1"/>
      <rgbColor rgb="FF33CCCC"/>
      <rgbColor rgb="FFEBF5FB"/>
      <rgbColor rgb="FFE8F5E9"/>
      <rgbColor rgb="FFF8F9FA"/>
      <rgbColor rgb="FFFF6B35"/>
      <rgbColor rgb="FF777777"/>
      <rgbColor rgb="FF999999"/>
      <rgbColor rgb="FF1A5276"/>
      <rgbColor rgb="FF1E8449"/>
      <rgbColor rgb="FF0D1B2A"/>
      <rgbColor rgb="FF0A1520"/>
      <rgbColor rgb="FF922B21"/>
      <rgbColor rgb="FFC0392B"/>
      <rgbColor rgb="FF333399"/>
      <rgbColor rgb="FF1A1A2E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18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8" customWidth="1" style="114" min="1" max="1"/>
    <col width="60" customWidth="1" style="114" min="2" max="2"/>
    <col width="20" customWidth="1" style="114" min="3" max="3"/>
  </cols>
  <sheetData>
    <row r="1" ht="48" customHeight="1" s="115">
      <c r="A1" s="116" t="inlineStr">
        <is>
          <t>📖  GUÍA RÁPIDA — PLANTILLA SEMANAL AGENTE NN</t>
        </is>
      </c>
    </row>
    <row r="2" ht="19.5" customHeight="1" s="115">
      <c r="A2" s="117" t="inlineStr">
        <is>
          <t>Nationale-Nederlanden · Punto Naranja Xàtiva · Lee esto antes de rellenar</t>
        </is>
      </c>
    </row>
    <row r="3" ht="12" customHeight="1" s="115">
      <c r="A3" s="118" t="n"/>
      <c r="B3" s="118" t="n"/>
      <c r="C3" s="118" t="n"/>
    </row>
    <row r="4" ht="39.75" customHeight="1" s="115">
      <c r="A4" s="119" t="inlineStr">
        <is>
          <t>PASO 1</t>
        </is>
      </c>
      <c r="B4" s="120" t="inlineStr">
        <is>
          <t>📅  Rellena tus datos personales</t>
        </is>
      </c>
      <c r="C4" s="121" t="inlineStr">
        <is>
          <t>Pestaña: 👤 MIS DATOS</t>
        </is>
      </c>
    </row>
    <row r="5" ht="39.75" customHeight="1" s="115">
      <c r="A5" s="122" t="inlineStr">
        <is>
          <t>PASO 2</t>
        </is>
      </c>
      <c r="B5" s="123" t="inlineStr">
        <is>
          <t>📞  Anota tu actividad de la semana pasada</t>
        </is>
      </c>
      <c r="C5" s="124" t="inlineStr">
        <is>
          <t>Pestaña: 📞 MI ACTIVIDAD</t>
        </is>
      </c>
    </row>
    <row r="6" ht="39.75" customHeight="1" s="115">
      <c r="A6" s="125" t="inlineStr">
        <is>
          <t>PASO 3</t>
        </is>
      </c>
      <c r="B6" s="126" t="inlineStr">
        <is>
          <t>🔥  Lista tus operaciones previstas esta semana</t>
        </is>
      </c>
      <c r="C6" s="127" t="inlineStr">
        <is>
          <t>Pestaña: 🔥 MIS OPERACIONES</t>
        </is>
      </c>
    </row>
    <row r="7" ht="39.75" customHeight="1" s="115">
      <c r="A7" s="128" t="inlineStr">
        <is>
          <t>PASO 4</t>
        </is>
      </c>
      <c r="B7" s="129" t="inlineStr">
        <is>
          <t>📤  Guarda y envía al Punto Naranja ANTES del lunes 8:30h</t>
        </is>
      </c>
      <c r="C7" s="130" t="inlineStr">
        <is>
          <t>¡Sin excusas!</t>
        </is>
      </c>
    </row>
    <row r="8" ht="12" customHeight="1" s="115">
      <c r="A8" s="118" t="n"/>
      <c r="B8" s="118" t="n"/>
      <c r="C8" s="118" t="n"/>
    </row>
    <row r="9" ht="15.75" customHeight="1" s="115"/>
    <row r="10" ht="27.75" customHeight="1" s="115">
      <c r="A10" s="131" t="inlineStr">
        <is>
          <t>⚠️  REGLAS IMPORTANTES</t>
        </is>
      </c>
    </row>
    <row r="11" ht="24" customHeight="1" s="115">
      <c r="A11" s="132" t="inlineStr">
        <is>
          <t>✅  La probabilidad de cierre usa opciones fijas: 🔥 Alta · ⭐ Media · 🟡 Baja</t>
        </is>
      </c>
      <c r="B11" s="133" t="n"/>
      <c r="C11" s="134" t="n"/>
    </row>
    <row r="12" ht="24" customHeight="1" s="115">
      <c r="A12" s="135" t="inlineStr">
        <is>
          <t>✅  Los puntos estimados los calculas tú según el producto y la prima estimada</t>
        </is>
      </c>
      <c r="B12" s="133" t="n"/>
      <c r="C12" s="134" t="n"/>
    </row>
    <row r="13" ht="24" customHeight="1" s="115">
      <c r="A13" s="132" t="inlineStr">
        <is>
          <t>✅  Si no tienes operaciones previstas, escribe "Sin operaciones esta semana"</t>
        </is>
      </c>
      <c r="B13" s="133" t="n"/>
      <c r="C13" s="134" t="n"/>
    </row>
    <row r="14" ht="24" customHeight="1" s="115">
      <c r="A14" s="135" t="inlineStr">
        <is>
          <t>✅  Envía siempre aunque la semana haya sido floja. La honestidad construye equipo</t>
        </is>
      </c>
      <c r="B14" s="133" t="n"/>
      <c r="C14" s="134" t="n"/>
    </row>
    <row r="15" ht="24" customHeight="1" s="115">
      <c r="A15" s="132" t="inlineStr">
        <is>
          <t>✅  Plazo límite: LUNES antes de las 8:30h. Sin excepciones.</t>
        </is>
      </c>
      <c r="B15" s="133" t="n"/>
      <c r="C15" s="134" t="n"/>
    </row>
    <row r="16" ht="15.75" customHeight="1" s="115"/>
    <row r="17" ht="27.75" customHeight="1" s="115">
      <c r="A17" s="136" t="inlineStr">
        <is>
          <t>📞  ¿DUDAS? Contacta con el Punto Naranja Xàtiva</t>
        </is>
      </c>
    </row>
    <row r="18" ht="27.75" customHeight="1" s="115">
      <c r="A18" s="137" t="inlineStr">
        <is>
          <t>Agente Dinamizador · Nationale-Nederlanden Xàtiva y Comarca La Costera</t>
        </is>
      </c>
    </row>
  </sheetData>
  <mergeCells count="10">
    <mergeCell ref="A10:C10"/>
    <mergeCell ref="A13:C13"/>
    <mergeCell ref="A11:C11"/>
    <mergeCell ref="A1:C1"/>
    <mergeCell ref="A14:C14"/>
    <mergeCell ref="A17:C17"/>
    <mergeCell ref="A18:C18"/>
    <mergeCell ref="A12:C12"/>
    <mergeCell ref="A2:C2"/>
    <mergeCell ref="A15:C1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29"/>
  <sheetViews>
    <sheetView workbookViewId="0">
      <selection activeCell="A1" sqref="A1"/>
    </sheetView>
  </sheetViews>
  <sheetFormatPr baseColWidth="8" defaultRowHeight="15"/>
  <cols>
    <col width="5" customWidth="1" style="115" min="1" max="1"/>
    <col width="45" customWidth="1" style="115" min="2" max="2"/>
    <col width="35" customWidth="1" style="115" min="3" max="3"/>
    <col width="20" customWidth="1" style="115" min="4" max="4"/>
  </cols>
  <sheetData>
    <row r="1" ht="30" customHeight="1" s="115">
      <c r="B1" s="138" t="inlineStr">
        <is>
          <t>🎯  MI PERFIL DE AGENTE — Sistema María José</t>
        </is>
      </c>
    </row>
    <row r="2" ht="20" customHeight="1" s="115">
      <c r="B2" s="139" t="inlineStr">
        <is>
          <t>Define tu perfil para que el Punto Naranja adapte tu seguimiento</t>
        </is>
      </c>
    </row>
    <row r="4" ht="25" customHeight="1" s="115">
      <c r="B4" s="140" t="inlineStr">
        <is>
          <t>📊  ELIGE TU PERFIL DE AGENTE</t>
        </is>
      </c>
    </row>
    <row r="6">
      <c r="B6" s="141" t="inlineStr">
        <is>
          <t>🏆 ROLE MODEL</t>
        </is>
      </c>
    </row>
    <row r="7" ht="35" customHeight="1" s="115">
      <c r="B7" s="142" t="inlineStr">
        <is>
          <t>Aspiro a ser TOP. Quiero objetivos ambiciosos y retos que me lleven al máximo nivel.</t>
        </is>
      </c>
    </row>
    <row r="8">
      <c r="B8" s="141" t="inlineStr">
        <is>
          <t>✈️ VIAJE</t>
        </is>
      </c>
    </row>
    <row r="9" ht="35" customHeight="1" s="115">
      <c r="B9" s="142" t="inlineStr">
        <is>
          <t>Me motivan los incentivos de equipo. Trabajo bien cuando vamos todos hacia una meta común.</t>
        </is>
      </c>
    </row>
    <row r="10">
      <c r="B10" s="141" t="inlineStr">
        <is>
          <t>💶 MÍNIMO INGRESOS</t>
        </is>
      </c>
    </row>
    <row r="11" ht="35" customHeight="1" s="115">
      <c r="B11" s="142" t="inlineStr">
        <is>
          <t>Busco estabilidad. Mi meta es asegurar unos ingresos mínimos (~2.500€/mes en comisiones).</t>
        </is>
      </c>
    </row>
    <row r="13">
      <c r="B13" s="143" t="inlineStr">
        <is>
          <t>▶ Mi perfil elegido:</t>
        </is>
      </c>
      <c r="C13" s="144" t="inlineStr">
        <is>
          <t>[Escribe aquí: Role Model / Viaje / Mínimo Ingresos]</t>
        </is>
      </c>
    </row>
    <row r="16" ht="25" customHeight="1" s="115">
      <c r="B16" s="140" t="inlineStr">
        <is>
          <t>🚦  OBJETIVO SEMÁFORO 2026</t>
        </is>
      </c>
    </row>
    <row r="18">
      <c r="B18" s="145" t="inlineStr">
        <is>
          <t>Meta: cobrar la bonificación de 300€ al final del año por tener el semáforo en verde.</t>
        </is>
      </c>
    </row>
    <row r="20">
      <c r="B20" s="143" t="inlineStr">
        <is>
          <t>▶ Mi nota semáforo actual:</t>
        </is>
      </c>
      <c r="C20" s="144" t="inlineStr">
        <is>
          <t>[Consulta tu semáforo en ADN]</t>
        </is>
      </c>
    </row>
    <row r="21">
      <c r="B21" s="143" t="inlineStr">
        <is>
          <t>▶ Puntos que me faltan para verde:</t>
        </is>
      </c>
      <c r="C21" s="144" t="inlineStr">
        <is>
          <t>[Número]</t>
        </is>
      </c>
    </row>
    <row r="24" ht="25" customHeight="1" s="115">
      <c r="B24" s="140" t="inlineStr">
        <is>
          <t>🎯  CULTURA DE REFERIDOS — Método Ana Muñoz</t>
        </is>
      </c>
    </row>
    <row r="26" ht="30" customHeight="1" s="115">
      <c r="B26" s="145" t="inlineStr">
        <is>
          <t>El "Minuto de Oro": En cada reunión con un cliente, dedica 1 minuto a mencionar que estamos ampliando la red.</t>
        </is>
      </c>
    </row>
    <row r="28">
      <c r="B28" s="143" t="inlineStr">
        <is>
          <t>▶ Esta semana pregunté por candidatos a:</t>
        </is>
      </c>
      <c r="C28" s="144" t="inlineStr">
        <is>
          <t>[Número de personas]</t>
        </is>
      </c>
    </row>
    <row r="29">
      <c r="B29" s="143" t="inlineStr">
        <is>
          <t>▶ Candidatos potenciales detectados:</t>
        </is>
      </c>
      <c r="C29" s="144" t="inlineStr">
        <is>
          <t>[Nombres o cantidad]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1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" customWidth="1" style="114" min="1" max="1"/>
    <col width="32" customWidth="1" style="114" min="2" max="2"/>
    <col width="42" customWidth="1" style="114" min="3" max="3"/>
  </cols>
  <sheetData>
    <row r="1" ht="39.75" customHeight="1" s="115">
      <c r="A1" s="146" t="inlineStr">
        <is>
          <t>👤  MIS DATOS — Rellena todo antes de continuar</t>
        </is>
      </c>
    </row>
    <row r="2" ht="18" customHeight="1" s="115">
      <c r="A2" s="147" t="inlineStr">
        <is>
          <t>Esta información aparecerá en el informe que recibe el Punto Naranja</t>
        </is>
      </c>
    </row>
    <row r="3" ht="25.5" customHeight="1" s="115">
      <c r="A3" s="148" t="inlineStr">
        <is>
          <t>▶</t>
        </is>
      </c>
      <c r="B3" s="149" t="inlineStr">
        <is>
          <t>Nombre completo *</t>
        </is>
      </c>
      <c r="C3" s="150" t="n"/>
    </row>
    <row r="4" ht="25.5" customHeight="1" s="115">
      <c r="A4" s="151" t="inlineStr">
        <is>
          <t>▶</t>
        </is>
      </c>
      <c r="B4" s="152" t="inlineStr">
        <is>
          <t>Zona / Pueblos que trabajas *</t>
        </is>
      </c>
      <c r="C4" s="150" t="n"/>
    </row>
    <row r="5" ht="25.5" customHeight="1" s="115">
      <c r="A5" s="148" t="inlineStr">
        <is>
          <t>▶</t>
        </is>
      </c>
      <c r="B5" s="153" t="inlineStr">
        <is>
          <t>Teléfono de contacto</t>
        </is>
      </c>
      <c r="C5" s="154" t="n"/>
    </row>
    <row r="6" ht="25.5" customHeight="1" s="115">
      <c r="A6" s="151" t="inlineStr">
        <is>
          <t>▶</t>
        </is>
      </c>
      <c r="B6" s="155" t="inlineStr">
        <is>
          <t>Email</t>
        </is>
      </c>
      <c r="C6" s="154" t="n"/>
    </row>
    <row r="7" ht="25.5" customHeight="1" s="115">
      <c r="A7" s="156" t="inlineStr">
        <is>
          <t>▶</t>
        </is>
      </c>
      <c r="B7" s="157" t="inlineStr">
        <is>
          <t>Semana del (fecha lunes)</t>
        </is>
      </c>
      <c r="C7" s="158">
        <f>TEXT(TODAY(),"DD/MM/YYYY")</f>
        <v/>
      </c>
    </row>
    <row r="8" ht="25.5" customHeight="1" s="115">
      <c r="A8" s="156" t="inlineStr">
        <is>
          <t>▶</t>
        </is>
      </c>
      <c r="B8" s="157" t="inlineStr">
        <is>
          <t>Semana al (fecha viernes)</t>
        </is>
      </c>
      <c r="C8" s="158">
        <f>TEXT(TODAY()+4,"DD/MM/YYYY")</f>
        <v/>
      </c>
    </row>
    <row r="9" ht="25.5" customHeight="1" s="115">
      <c r="A9" s="148" t="inlineStr">
        <is>
          <t>▶</t>
        </is>
      </c>
      <c r="B9" s="153" t="inlineStr">
        <is>
          <t>Meses en la compañía</t>
        </is>
      </c>
      <c r="C9" s="154" t="n"/>
    </row>
    <row r="10" ht="25.5" customHeight="1" s="115">
      <c r="A10" s="159" t="inlineStr">
        <is>
          <t>▶</t>
        </is>
      </c>
      <c r="B10" s="160" t="inlineStr">
        <is>
          <t>Objetivo mensual personal (pts) *</t>
        </is>
      </c>
      <c r="C10" s="150" t="n"/>
    </row>
    <row r="11" ht="25.5" customHeight="1" s="115">
      <c r="A11" s="159" t="inlineStr">
        <is>
          <t>▶</t>
        </is>
      </c>
      <c r="B11" s="160" t="inlineStr">
        <is>
          <t>Puntos acumulados a hoy *</t>
        </is>
      </c>
      <c r="C11" s="150" t="n"/>
    </row>
    <row r="12" ht="9.75" customHeight="1" s="115"/>
    <row r="13" ht="19.5" customHeight="1" s="115">
      <c r="A13" s="161" t="inlineStr">
        <is>
          <t>* Campos obligatorios · Sin estos datos tu informe no se puede procesar</t>
        </is>
      </c>
    </row>
  </sheetData>
  <mergeCells count="3">
    <mergeCell ref="A1:C1"/>
    <mergeCell ref="A13:C13"/>
    <mergeCell ref="A2:C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114" min="1" max="1"/>
    <col width="13" customWidth="1" style="114" min="2" max="6"/>
    <col width="14" customWidth="1" style="114" min="7" max="7"/>
    <col width="20" customWidth="1" style="114" min="8" max="8"/>
  </cols>
  <sheetData>
    <row r="1" ht="39.75" customHeight="1" s="115">
      <c r="A1" s="162" t="inlineStr">
        <is>
          <t>📞  MI ACTIVIDAD DE LA SEMANA</t>
        </is>
      </c>
    </row>
    <row r="2" ht="18" customHeight="1" s="115">
      <c r="A2" s="163" t="inlineStr">
        <is>
          <t>Anota lo que REALMENTE hiciste · La honestidad es la base de la mejora</t>
        </is>
      </c>
    </row>
    <row r="3" ht="31.5" customHeight="1" s="115">
      <c r="A3" s="164" t="inlineStr">
        <is>
          <t>ACTIVIDAD</t>
        </is>
      </c>
      <c r="B3" s="164" t="inlineStr">
        <is>
          <t>LUNES</t>
        </is>
      </c>
      <c r="C3" s="164" t="inlineStr">
        <is>
          <t>MARTES</t>
        </is>
      </c>
      <c r="D3" s="164" t="inlineStr">
        <is>
          <t>MIÉRCOLES</t>
        </is>
      </c>
      <c r="E3" s="164" t="inlineStr">
        <is>
          <t>JUEVES</t>
        </is>
      </c>
      <c r="F3" s="164" t="inlineStr">
        <is>
          <t>VIERNES</t>
        </is>
      </c>
      <c r="G3" s="164" t="inlineStr">
        <is>
          <t>TOTAL
SEMANA</t>
        </is>
      </c>
      <c r="H3" s="164" t="inlineStr">
        <is>
          <t>OBSERVACIONES</t>
        </is>
      </c>
    </row>
    <row r="4" ht="24" customHeight="1" s="115">
      <c r="A4" s="165" t="inlineStr">
        <is>
          <t>📞 Llamadas realizadas</t>
        </is>
      </c>
      <c r="B4" s="166" t="n"/>
      <c r="C4" s="166" t="n"/>
      <c r="D4" s="166" t="n"/>
      <c r="E4" s="166" t="n"/>
      <c r="F4" s="166" t="n"/>
      <c r="G4" s="167">
        <f>SUM(B4:F4)</f>
        <v/>
      </c>
      <c r="H4" s="168" t="n"/>
    </row>
    <row r="5" ht="24" customHeight="1" s="115">
      <c r="A5" s="169" t="inlineStr">
        <is>
          <t>✅ Contactos conseguidos</t>
        </is>
      </c>
      <c r="B5" s="166" t="n"/>
      <c r="C5" s="166" t="n"/>
      <c r="D5" s="166" t="n"/>
      <c r="E5" s="166" t="n"/>
      <c r="F5" s="166" t="n"/>
      <c r="G5" s="167">
        <f>SUM(B5:F5)</f>
        <v/>
      </c>
      <c r="H5" s="170" t="n"/>
    </row>
    <row r="6" ht="24" customHeight="1" s="115">
      <c r="A6" s="171" t="inlineStr">
        <is>
          <t>🤝 Reuniones realizadas</t>
        </is>
      </c>
      <c r="B6" s="166" t="n"/>
      <c r="C6" s="166" t="n"/>
      <c r="D6" s="166" t="n"/>
      <c r="E6" s="166" t="n"/>
      <c r="F6" s="166" t="n"/>
      <c r="G6" s="167">
        <f>SUM(B6:F6)</f>
        <v/>
      </c>
      <c r="H6" s="172" t="n"/>
    </row>
    <row r="7" ht="24" customHeight="1" s="115">
      <c r="A7" s="173" t="inlineStr">
        <is>
          <t>📝 Presupuestos presentados</t>
        </is>
      </c>
      <c r="B7" s="174" t="n"/>
      <c r="C7" s="174" t="n"/>
      <c r="D7" s="174" t="n"/>
      <c r="E7" s="174" t="n"/>
      <c r="F7" s="174" t="n"/>
      <c r="G7" s="175">
        <f>SUM(B7:F7)</f>
        <v/>
      </c>
      <c r="H7" s="176" t="n"/>
    </row>
    <row r="8" ht="24" customHeight="1" s="115">
      <c r="A8" s="169" t="inlineStr">
        <is>
          <t>✍️ Pólizas firmadas</t>
        </is>
      </c>
      <c r="B8" s="166" t="n"/>
      <c r="C8" s="166" t="n"/>
      <c r="D8" s="166" t="n"/>
      <c r="E8" s="166" t="n"/>
      <c r="F8" s="166" t="n"/>
      <c r="G8" s="167">
        <f>SUM(B8:F8)</f>
        <v/>
      </c>
      <c r="H8" s="170" t="n"/>
    </row>
    <row r="9" ht="24" customHeight="1" s="115">
      <c r="A9" s="177" t="inlineStr">
        <is>
          <t>💶 Puntos N-N generados</t>
        </is>
      </c>
      <c r="B9" s="178" t="n"/>
      <c r="C9" s="178" t="n"/>
      <c r="D9" s="178" t="n"/>
      <c r="E9" s="178" t="n"/>
      <c r="F9" s="178" t="n"/>
      <c r="G9" s="179">
        <f>SUM(B9:F9)</f>
        <v/>
      </c>
      <c r="H9" s="180" t="n"/>
    </row>
    <row r="10" ht="24" customHeight="1" s="115">
      <c r="A10" s="181" t="inlineStr">
        <is>
          <t>❌ No contactados (buzón/etc)</t>
        </is>
      </c>
      <c r="B10" s="174" t="n"/>
      <c r="C10" s="174" t="n"/>
      <c r="D10" s="174" t="n"/>
      <c r="E10" s="174" t="n"/>
      <c r="F10" s="174" t="n"/>
      <c r="G10" s="182">
        <f>SUM(B10:F10)</f>
        <v/>
      </c>
      <c r="H10" s="183" t="n"/>
    </row>
    <row r="11" ht="9.75" customHeight="1" s="115"/>
    <row r="12" ht="27.75" customHeight="1" s="115">
      <c r="A12" s="184" t="inlineStr">
        <is>
          <t>💊  PRODUCTOS QUE HAS TRABAJADO ESTA SEMANA</t>
        </is>
      </c>
    </row>
    <row r="13" ht="27.75" customHeight="1" s="115">
      <c r="A13" s="185" t="inlineStr">
        <is>
          <t>PRODUCTO</t>
        </is>
      </c>
      <c r="B13" s="185" t="inlineStr">
        <is>
          <t>LLAMADAS</t>
        </is>
      </c>
      <c r="C13" s="185" t="inlineStr">
        <is>
          <t>REUNIONES</t>
        </is>
      </c>
      <c r="D13" s="185" t="inlineStr">
        <is>
          <t>PRESUPUESTOS</t>
        </is>
      </c>
      <c r="E13" s="185" t="inlineStr">
        <is>
          <t>FIRMAS</t>
        </is>
      </c>
      <c r="F13" s="185" t="inlineStr">
        <is>
          <t>PTS GENERADOS</t>
        </is>
      </c>
      <c r="G13" s="185" t="inlineStr">
        <is>
          <t>CAMPAÑA ACTIVA</t>
        </is>
      </c>
      <c r="H13" s="185" t="inlineStr">
        <is>
          <t>NOTAS</t>
        </is>
      </c>
    </row>
    <row r="14" ht="21.75" customHeight="1" s="115">
      <c r="A14" s="186" t="inlineStr">
        <is>
          <t>💚 Plan Salud + Vida</t>
        </is>
      </c>
      <c r="B14" s="187" t="n"/>
      <c r="C14" s="187" t="n"/>
      <c r="D14" s="187" t="n"/>
      <c r="E14" s="187" t="n"/>
      <c r="F14" s="188" t="n"/>
      <c r="G14" s="189" t="inlineStr">
        <is>
          <t>🔥 Sí · 12,5% dto</t>
        </is>
      </c>
      <c r="H14" s="190" t="n"/>
    </row>
    <row r="15" ht="21.75" customHeight="1" s="115">
      <c r="A15" s="191" t="inlineStr">
        <is>
          <t>🏠 MiHogar Seguro</t>
        </is>
      </c>
      <c r="B15" s="187" t="n"/>
      <c r="C15" s="187" t="n"/>
      <c r="D15" s="187" t="n"/>
      <c r="E15" s="187" t="n"/>
      <c r="F15" s="188" t="n"/>
      <c r="G15" s="192" t="inlineStr">
        <is>
          <t>—</t>
        </is>
      </c>
      <c r="H15" s="193" t="n"/>
    </row>
    <row r="16" ht="21.75" customHeight="1" s="115">
      <c r="A16" s="173" t="inlineStr">
        <is>
          <t>👴 Contigo Senior</t>
        </is>
      </c>
      <c r="B16" s="187" t="n"/>
      <c r="C16" s="187" t="n"/>
      <c r="D16" s="187" t="n"/>
      <c r="E16" s="187" t="n"/>
      <c r="F16" s="188" t="n"/>
      <c r="G16" s="194" t="inlineStr">
        <is>
          <t>—</t>
        </is>
      </c>
      <c r="H16" s="195" t="n"/>
    </row>
    <row r="17" ht="21.75" customHeight="1" s="115">
      <c r="A17" s="196" t="inlineStr">
        <is>
          <t>👨‍👩‍👧 Contigo Familia</t>
        </is>
      </c>
      <c r="B17" s="187" t="n"/>
      <c r="C17" s="187" t="n"/>
      <c r="D17" s="187" t="n"/>
      <c r="E17" s="187" t="n"/>
      <c r="F17" s="188" t="n"/>
      <c r="G17" s="197" t="inlineStr">
        <is>
          <t>—</t>
        </is>
      </c>
      <c r="H17" s="198" t="n"/>
    </row>
    <row r="18" ht="21.75" customHeight="1" s="115">
      <c r="A18" s="199" t="inlineStr">
        <is>
          <t>💰 PPSA Autónomos</t>
        </is>
      </c>
      <c r="B18" s="187" t="n"/>
      <c r="C18" s="187" t="n"/>
      <c r="D18" s="187" t="n"/>
      <c r="E18" s="187" t="n"/>
      <c r="F18" s="188" t="n"/>
      <c r="G18" s="200" t="inlineStr">
        <is>
          <t>—</t>
        </is>
      </c>
      <c r="H18" s="201" t="n"/>
    </row>
    <row r="19" ht="21.75" customHeight="1" s="115">
      <c r="A19" s="202" t="inlineStr">
        <is>
          <t>🚗 Autos Grupo Mutua</t>
        </is>
      </c>
      <c r="B19" s="187" t="n"/>
      <c r="C19" s="187" t="n"/>
      <c r="D19" s="187" t="n"/>
      <c r="E19" s="187" t="n"/>
      <c r="F19" s="188" t="n"/>
      <c r="G19" s="203" t="inlineStr">
        <is>
          <t>—</t>
        </is>
      </c>
      <c r="H19" s="204" t="n"/>
    </row>
    <row r="20" ht="21.75" customHeight="1" s="115">
      <c r="A20" s="205" t="inlineStr">
        <is>
          <t>Otro producto</t>
        </is>
      </c>
      <c r="B20" s="187" t="n"/>
      <c r="C20" s="187" t="n"/>
      <c r="D20" s="187" t="n"/>
      <c r="E20" s="187" t="n"/>
      <c r="F20" s="188" t="n"/>
      <c r="G20" s="206" t="inlineStr">
        <is>
          <t>—</t>
        </is>
      </c>
      <c r="H20" s="207" t="n"/>
    </row>
  </sheetData>
  <mergeCells count="3">
    <mergeCell ref="A12:H12"/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H3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4" customWidth="1" style="114" min="1" max="1"/>
    <col width="18" customWidth="1" style="114" min="2" max="2"/>
    <col width="14" customWidth="1" style="114" min="3" max="6"/>
    <col width="16" customWidth="1" style="114" min="7" max="7"/>
    <col width="22" customWidth="1" style="114" min="8" max="8"/>
  </cols>
  <sheetData>
    <row r="1" ht="39.75" customHeight="1" s="115">
      <c r="A1" s="208" t="inlineStr">
        <is>
          <t>🔥  MIS OPERACIONES — Previstas para la próxima semana</t>
        </is>
      </c>
    </row>
    <row r="2" ht="18" customHeight="1" s="115">
      <c r="A2" s="209" t="inlineStr">
        <is>
          <t>Lista las operaciones que tienes en marcha y las que prevés cerrar · Sé realista</t>
        </is>
      </c>
    </row>
    <row r="3" ht="9.75" customHeight="1" s="115"/>
    <row r="4" ht="24" customHeight="1" s="115">
      <c r="A4" s="210" t="inlineStr">
        <is>
          <t>📊  GUÍA DE PROBABILIDAD DE CIERRE</t>
        </is>
      </c>
    </row>
    <row r="5" ht="21.75" customHeight="1" s="115">
      <c r="A5" s="211" t="inlineStr">
        <is>
          <t>🔥 Alta</t>
        </is>
      </c>
      <c r="B5" s="212" t="inlineStr">
        <is>
          <t>El cliente está listo. Solo falta la firma. &gt;75% seguro.</t>
        </is>
      </c>
      <c r="C5" s="133" t="n"/>
      <c r="D5" s="133" t="n"/>
      <c r="E5" s="133" t="n"/>
      <c r="F5" s="133" t="n"/>
      <c r="G5" s="133" t="n"/>
      <c r="H5" s="133" t="n"/>
    </row>
    <row r="6" ht="21.75" customHeight="1" s="115">
      <c r="A6" s="213" t="inlineStr">
        <is>
          <t>⭐ Media</t>
        </is>
      </c>
      <c r="B6" s="214" t="inlineStr">
        <is>
          <t>Hay interés real pero quedan pasos. 40-75% probable.</t>
        </is>
      </c>
      <c r="C6" s="133" t="n"/>
      <c r="D6" s="133" t="n"/>
      <c r="E6" s="133" t="n"/>
      <c r="F6" s="133" t="n"/>
      <c r="G6" s="133" t="n"/>
      <c r="H6" s="133" t="n"/>
    </row>
    <row r="7" ht="21.75" customHeight="1" s="115">
      <c r="A7" s="215" t="inlineStr">
        <is>
          <t>🟡 Baja</t>
        </is>
      </c>
      <c r="B7" s="216" t="inlineStr">
        <is>
          <t>Contacto hecho, necesita más trabajo. &lt;40% de momento.</t>
        </is>
      </c>
      <c r="C7" s="133" t="n"/>
      <c r="D7" s="133" t="n"/>
      <c r="E7" s="133" t="n"/>
      <c r="F7" s="133" t="n"/>
      <c r="G7" s="133" t="n"/>
      <c r="H7" s="133" t="n"/>
    </row>
    <row r="8" ht="9.75" customHeight="1" s="115"/>
    <row r="9" ht="27.75" customHeight="1" s="115">
      <c r="A9" s="217" t="inlineStr">
        <is>
          <t>📋  OPERACIONES PREVISTAS</t>
        </is>
      </c>
    </row>
    <row r="10" ht="36" customHeight="1" s="115">
      <c r="A10" s="218" t="inlineStr">
        <is>
          <t>NOMBRE CLIENTE</t>
        </is>
      </c>
      <c r="B10" s="218" t="inlineStr">
        <is>
          <t>PRODUCTO NN</t>
        </is>
      </c>
      <c r="C10" s="218" t="inlineStr">
        <is>
          <t>FECHA PREVISTA
FIRMA</t>
        </is>
      </c>
      <c r="D10" s="218" t="inlineStr">
        <is>
          <t>PROB.
CIERRE</t>
        </is>
      </c>
      <c r="E10" s="218" t="inlineStr">
        <is>
          <t>PTS ESTIMADOS</t>
        </is>
      </c>
      <c r="F10" s="218" t="inlineStr">
        <is>
          <t>PUEBLO / ZONA</t>
        </is>
      </c>
      <c r="G10" s="218" t="inlineStr">
        <is>
          <t>ESTADO ACTUAL</t>
        </is>
      </c>
      <c r="H10" s="218" t="inlineStr">
        <is>
          <t>NOTAS / PRÓXIMO PASO</t>
        </is>
      </c>
    </row>
    <row r="11" ht="25.5" customHeight="1" s="115">
      <c r="A11" s="219" t="n"/>
      <c r="B11" s="205" t="n"/>
      <c r="C11" s="220" t="n"/>
      <c r="D11" s="221" t="n"/>
      <c r="E11" s="222" t="n"/>
      <c r="F11" s="205" t="n"/>
      <c r="G11" s="223" t="n"/>
      <c r="H11" s="207" t="n"/>
    </row>
    <row r="12" ht="25.5" customHeight="1" s="115">
      <c r="A12" s="224" t="n"/>
      <c r="B12" s="225" t="n"/>
      <c r="C12" s="220" t="n"/>
      <c r="D12" s="221" t="n"/>
      <c r="E12" s="222" t="n"/>
      <c r="F12" s="225" t="n"/>
      <c r="G12" s="226" t="n"/>
      <c r="H12" s="227" t="n"/>
    </row>
    <row r="13" ht="25.5" customHeight="1" s="115">
      <c r="A13" s="219" t="n"/>
      <c r="B13" s="205" t="n"/>
      <c r="C13" s="220" t="n"/>
      <c r="D13" s="221" t="n"/>
      <c r="E13" s="222" t="n"/>
      <c r="F13" s="205" t="n"/>
      <c r="G13" s="223" t="n"/>
      <c r="H13" s="207" t="n"/>
    </row>
    <row r="14" ht="25.5" customHeight="1" s="115">
      <c r="A14" s="224" t="n"/>
      <c r="B14" s="225" t="n"/>
      <c r="C14" s="220" t="n"/>
      <c r="D14" s="221" t="n"/>
      <c r="E14" s="222" t="n"/>
      <c r="F14" s="225" t="n"/>
      <c r="G14" s="226" t="n"/>
      <c r="H14" s="227" t="n"/>
    </row>
    <row r="15" ht="25.5" customHeight="1" s="115">
      <c r="A15" s="219" t="n"/>
      <c r="B15" s="205" t="n"/>
      <c r="C15" s="220" t="n"/>
      <c r="D15" s="221" t="n"/>
      <c r="E15" s="222" t="n"/>
      <c r="F15" s="205" t="n"/>
      <c r="G15" s="223" t="n"/>
      <c r="H15" s="207" t="n"/>
    </row>
    <row r="16" ht="25.5" customHeight="1" s="115">
      <c r="A16" s="224" t="n"/>
      <c r="B16" s="225" t="n"/>
      <c r="C16" s="220" t="n"/>
      <c r="D16" s="221" t="n"/>
      <c r="E16" s="222" t="n"/>
      <c r="F16" s="225" t="n"/>
      <c r="G16" s="226" t="n"/>
      <c r="H16" s="227" t="n"/>
    </row>
    <row r="17" ht="25.5" customHeight="1" s="115">
      <c r="A17" s="219" t="n"/>
      <c r="B17" s="205" t="n"/>
      <c r="C17" s="220" t="n"/>
      <c r="D17" s="221" t="n"/>
      <c r="E17" s="222" t="n"/>
      <c r="F17" s="205" t="n"/>
      <c r="G17" s="223" t="n"/>
      <c r="H17" s="207" t="n"/>
    </row>
    <row r="18" ht="25.5" customHeight="1" s="115">
      <c r="A18" s="224" t="n"/>
      <c r="B18" s="225" t="n"/>
      <c r="C18" s="220" t="n"/>
      <c r="D18" s="221" t="n"/>
      <c r="E18" s="222" t="n"/>
      <c r="F18" s="225" t="n"/>
      <c r="G18" s="226" t="n"/>
      <c r="H18" s="227" t="n"/>
    </row>
    <row r="19" ht="25.5" customHeight="1" s="115">
      <c r="A19" s="219" t="n"/>
      <c r="B19" s="205" t="n"/>
      <c r="C19" s="220" t="n"/>
      <c r="D19" s="221" t="n"/>
      <c r="E19" s="222" t="n"/>
      <c r="F19" s="205" t="n"/>
      <c r="G19" s="223" t="n"/>
      <c r="H19" s="207" t="n"/>
    </row>
    <row r="20" ht="25.5" customHeight="1" s="115">
      <c r="A20" s="224" t="n"/>
      <c r="B20" s="225" t="n"/>
      <c r="C20" s="220" t="n"/>
      <c r="D20" s="221" t="n"/>
      <c r="E20" s="222" t="n"/>
      <c r="F20" s="225" t="n"/>
      <c r="G20" s="226" t="n"/>
      <c r="H20" s="227" t="n"/>
    </row>
    <row r="21" ht="25.5" customHeight="1" s="115">
      <c r="A21" s="219" t="n"/>
      <c r="B21" s="205" t="n"/>
      <c r="C21" s="220" t="n"/>
      <c r="D21" s="221" t="n"/>
      <c r="E21" s="222" t="n"/>
      <c r="F21" s="205" t="n"/>
      <c r="G21" s="223" t="n"/>
      <c r="H21" s="207" t="n"/>
    </row>
    <row r="22" ht="25.5" customHeight="1" s="115">
      <c r="A22" s="224" t="n"/>
      <c r="B22" s="225" t="n"/>
      <c r="C22" s="220" t="n"/>
      <c r="D22" s="221" t="n"/>
      <c r="E22" s="222" t="n"/>
      <c r="F22" s="225" t="n"/>
      <c r="G22" s="226" t="n"/>
      <c r="H22" s="227" t="n"/>
    </row>
    <row r="23" ht="30" customHeight="1" s="115">
      <c r="A23" s="228" t="inlineStr">
        <is>
          <t>TOTAL PUNTOS ESTIMADOS</t>
        </is>
      </c>
      <c r="B23" s="133" t="n"/>
      <c r="C23" s="133" t="n"/>
      <c r="D23" s="134" t="n"/>
      <c r="E23" s="229">
        <f>IFERROR(SUM(E11:E22),0)</f>
        <v/>
      </c>
    </row>
    <row r="24" ht="9.75" customHeight="1" s="115"/>
    <row r="25" ht="27.75" customHeight="1" s="115">
      <c r="A25" s="230" t="inlineStr">
        <is>
          <t>📤  RESUMEN AUTOMÁTICO — El Punto Naranja verá esto en su consolidado</t>
        </is>
      </c>
    </row>
    <row r="26" ht="24" customHeight="1" s="115">
      <c r="A26" s="231" t="inlineStr">
        <is>
          <t>Total operaciones previstas</t>
        </is>
      </c>
      <c r="B26" s="133" t="n"/>
      <c r="C26" s="133" t="n"/>
      <c r="D26" s="134" t="n"/>
      <c r="E26" s="232">
        <f>COUNTA(A11:A22)</f>
        <v/>
      </c>
      <c r="F26" s="133" t="n"/>
      <c r="G26" s="133" t="n"/>
      <c r="H26" s="134" t="n"/>
    </row>
    <row r="27" ht="24" customHeight="1" s="115">
      <c r="A27" s="233" t="inlineStr">
        <is>
          <t>Operaciones 🔥 Alta prob.</t>
        </is>
      </c>
      <c r="B27" s="133" t="n"/>
      <c r="C27" s="133" t="n"/>
      <c r="D27" s="134" t="n"/>
      <c r="E27" s="234">
        <f>COUNTIF(D11:D22,"🔥 Alta")</f>
        <v/>
      </c>
      <c r="F27" s="133" t="n"/>
      <c r="G27" s="133" t="n"/>
      <c r="H27" s="134" t="n"/>
    </row>
    <row r="28" ht="24" customHeight="1" s="115">
      <c r="A28" s="231" t="inlineStr">
        <is>
          <t>Operaciones ⭐ Media prob.</t>
        </is>
      </c>
      <c r="B28" s="133" t="n"/>
      <c r="C28" s="133" t="n"/>
      <c r="D28" s="134" t="n"/>
      <c r="E28" s="235">
        <f>COUNTIF(D11:D22,"⭐ Media")</f>
        <v/>
      </c>
      <c r="F28" s="133" t="n"/>
      <c r="G28" s="133" t="n"/>
      <c r="H28" s="134" t="n"/>
    </row>
    <row r="29" ht="24" customHeight="1" s="115">
      <c r="A29" s="233" t="inlineStr">
        <is>
          <t>Operaciones 🟡 Baja prob.</t>
        </is>
      </c>
      <c r="B29" s="133" t="n"/>
      <c r="C29" s="133" t="n"/>
      <c r="D29" s="134" t="n"/>
      <c r="E29" s="236">
        <f>COUNTIF(D11:D22,"🟡 Baja")</f>
        <v/>
      </c>
      <c r="F29" s="133" t="n"/>
      <c r="G29" s="133" t="n"/>
      <c r="H29" s="134" t="n"/>
    </row>
    <row r="30" ht="24" customHeight="1" s="115">
      <c r="A30" s="237" t="inlineStr">
        <is>
          <t>TOTAL PUNTOS ESTIMADOS</t>
        </is>
      </c>
      <c r="B30" s="133" t="n"/>
      <c r="C30" s="133" t="n"/>
      <c r="D30" s="134" t="n"/>
      <c r="E30" s="238">
        <f>IFERROR(SUM(E11:E22),0)</f>
        <v/>
      </c>
      <c r="F30" s="133" t="n"/>
      <c r="G30" s="133" t="n"/>
      <c r="H30" s="134" t="n"/>
    </row>
  </sheetData>
  <mergeCells count="20">
    <mergeCell ref="A9:H9"/>
    <mergeCell ref="A23:D23"/>
    <mergeCell ref="E26:H26"/>
    <mergeCell ref="B6:H6"/>
    <mergeCell ref="A29:D29"/>
    <mergeCell ref="A1:H1"/>
    <mergeCell ref="B5:H5"/>
    <mergeCell ref="A28:D28"/>
    <mergeCell ref="A25:H25"/>
    <mergeCell ref="A30:D30"/>
    <mergeCell ref="B7:H7"/>
    <mergeCell ref="E23:H23"/>
    <mergeCell ref="A2:H2"/>
    <mergeCell ref="E29:H29"/>
    <mergeCell ref="E28:H28"/>
    <mergeCell ref="A4:H4"/>
    <mergeCell ref="A27:D27"/>
    <mergeCell ref="A26:D26"/>
    <mergeCell ref="E30:H30"/>
    <mergeCell ref="E27:H27"/>
  </mergeCells>
  <dataValidations count="1">
    <dataValidation sqref="D11:D22" showDropDown="0" showInputMessage="0" showErrorMessage="0" allowBlank="1" errorTitle="Valor no válido" error="Elige una opción de la lista" promptTitle="Probabilidad" prompt="Selecciona la probabilidad de cierre" type="list" errorStyle="stop" operator="between">
      <formula1>"🔥 Alta,⭐ Media,🟡 Baja"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2026-03-21T13:13:30Z</dcterms:created>
  <dcterms:modified xmlns:dcterms="http://purl.org/dc/terms/" xmlns:xsi="http://www.w3.org/2001/XMLSchema-instance" xsi:type="dcterms:W3CDTF">2026-04-18T16:35:56Z</dcterms:modified>
  <cp:revision>0</cp:revision>
</cp:coreProperties>
</file>