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ffont\Downloads\"/>
    </mc:Choice>
  </mc:AlternateContent>
  <xr:revisionPtr revIDLastSave="0" documentId="13_ncr:1_{1C4AB37B-61FC-40CC-9B82-98D4F72F3921}" xr6:coauthVersionLast="47" xr6:coauthVersionMax="47" xr10:uidLastSave="{00000000-0000-0000-0000-000000000000}"/>
  <bookViews>
    <workbookView xWindow="-120" yWindow="-120" windowWidth="38640" windowHeight="21120" tabRatio="500" activeTab="3" xr2:uid="{00000000-000D-0000-FFFF-FFFF00000000}"/>
  </bookViews>
  <sheets>
    <sheet name="📖 INSTRUCCIONES" sheetId="1" r:id="rId1"/>
    <sheet name="📱 IMPORTAR CONTACTOS" sheetId="2" r:id="rId2"/>
    <sheet name="👥 MIS CONTACTOS" sheetId="3" r:id="rId3"/>
    <sheet name="📊 MI RESUMEN" sheetId="4" r:id="rId4"/>
  </sheets>
  <definedNames>
    <definedName name="_xlnm._FilterDatabase" localSheetId="2" hidden="1">'👥 MIS CONTACTOS'!$A$2:$R$502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4" l="1"/>
  <c r="D27" i="4"/>
  <c r="D26" i="4"/>
  <c r="D25" i="4"/>
  <c r="D24" i="4"/>
  <c r="D20" i="4"/>
  <c r="D19" i="4"/>
  <c r="D18" i="4"/>
  <c r="D17" i="4"/>
  <c r="D16" i="4"/>
  <c r="D15" i="4"/>
  <c r="D14" i="4"/>
  <c r="D10" i="4"/>
  <c r="D9" i="4"/>
  <c r="D8" i="4"/>
  <c r="D7" i="4"/>
  <c r="D6" i="4"/>
  <c r="D5" i="4"/>
  <c r="D4" i="4"/>
</calcChain>
</file>

<file path=xl/sharedStrings.xml><?xml version="1.0" encoding="utf-8"?>
<sst xmlns="http://schemas.openxmlformats.org/spreadsheetml/2006/main" count="124" uniqueCount="121">
  <si>
    <t>📖  CEREBRO DEL AGENTE NN — GUÍA RÁPIDA</t>
  </si>
  <si>
    <t>Tu base de datos personal de contactos · Nationale-Nederlanden · Punto Naranja Xàtiva</t>
  </si>
  <si>
    <t>PASO 1</t>
  </si>
  <si>
    <t>📱  Exporta tus contactos del teléfono</t>
  </si>
  <si>
    <t>Ve a la pestaña "📱 IMPORTAR CONTACTOS" y sigue las instrucciones paso a paso para exportar tus contactos de Google Contacts a CSV e importarlos aquí.</t>
  </si>
  <si>
    <t>PASO 2</t>
  </si>
  <si>
    <t>🏷️  Segmenta tus contactos</t>
  </si>
  <si>
    <t>Revisa cada contacto y asigna un Segmento (S1 Joven, S2 Constructor, S3 Protector, S3A Autónomo, S4 Planificador, S5 Senior) según su edad y perfil.</t>
  </si>
  <si>
    <t>PASO 3</t>
  </si>
  <si>
    <t>🎯  Asigna producto recomendado</t>
  </si>
  <si>
    <t>Según el segmento, elige el producto NN más adecuado. Consulta la tabla de la pestaña "📱 IMPORTAR CONTACTOS".</t>
  </si>
  <si>
    <t>PASO 4</t>
  </si>
  <si>
    <t>📞  Empieza a llamar</t>
  </si>
  <si>
    <t>Usa el Sistema de Llamadas del Panel DESPEGUE. Registra cada resultado en la columna "Estado" y "Resultado última llamada".</t>
  </si>
  <si>
    <t>PASO 5</t>
  </si>
  <si>
    <t>📤  Reporta cada lunes</t>
  </si>
  <si>
    <t>Rellena tu PLANTILLA_AGENTE_NN con la actividad de la semana y envíala antes de las 8:30h del lunes.</t>
  </si>
  <si>
    <t>⚠️  REGLAS IMPORTANTES</t>
  </si>
  <si>
    <t>✅  Nunca compartas este archivo con datos reales de clientes fuera del equipo NN.</t>
  </si>
  <si>
    <t>✅  El campo RGPD es OBLIGATORIO. Sin consentimiento = solo interés legítimo (ley LOPDGDD).</t>
  </si>
  <si>
    <t>✅  Si alguien dice "BAJA" o pide no ser contactado → marca "Sin base legal" y NO volver a llamar.</t>
  </si>
  <si>
    <t>✅  Actualiza el estado de cada contacto DESPUÉS de cada llamada. Sin excusas.</t>
  </si>
  <si>
    <t>✅  Envía la plantilla semanal ANTES del lunes 8:30h. La honestidad construye equipo.</t>
  </si>
  <si>
    <t>📱  CÓMO IMPORTAR TUS CONTACTOS DEL TELÉFONO</t>
  </si>
  <si>
    <t>1. EXPORTAR DE GOOGLE CONTACTS</t>
  </si>
  <si>
    <t xml:space="preserve">    Abre contacts.google.com en tu ordenador (o en Chrome del móvil).</t>
  </si>
  <si>
    <t xml:space="preserve">    Haz clic en "Exportar" (icono de flecha hacia arriba, menú lateral izquierdo).</t>
  </si>
  <si>
    <t xml:space="preserve">    Selecciona "Todos los contactos" o el grupo que quieras.</t>
  </si>
  <si>
    <t xml:space="preserve">    Formato: "CSV de Google" (no Outlook, no vCard).</t>
  </si>
  <si>
    <t xml:space="preserve">    Descarga el archivo .csv.</t>
  </si>
  <si>
    <t>2. ABRIR EL CSV</t>
  </si>
  <si>
    <t xml:space="preserve">    Abre Excel o Google Sheets.</t>
  </si>
  <si>
    <t xml:space="preserve">    Archivo → Abrir → selecciona el .csv descargado.</t>
  </si>
  <si>
    <t xml:space="preserve">    Verás columnas como: Name, Phone 1, Phone 2, Email, etc.</t>
  </si>
  <si>
    <t>3. COPIAR A ESTE ARCHIVO</t>
  </si>
  <si>
    <t xml:space="preserve">    De tu CSV, copia la columna "Name" → pégala en la columna NOMBRE de la pestaña "👥 MIS CONTACTOS".</t>
  </si>
  <si>
    <t xml:space="preserve">    Copia "Phone 1 - Value" → pégala en TELÉFONO 1.</t>
  </si>
  <si>
    <t xml:space="preserve">    Copia "Phone 2 - Value" → pégala en TELÉFONO 2 (si existe).</t>
  </si>
  <si>
    <t xml:space="preserve">    Copia "E-mail 1 - Value" → pégala en EMAIL.</t>
  </si>
  <si>
    <t xml:space="preserve">    Copia "Organization 1 - Name" → pégala en EMPRESA (si existe).</t>
  </si>
  <si>
    <t>4. COMPLETAR DATOS</t>
  </si>
  <si>
    <t xml:space="preserve">    Rellena PUEBLO/ZONA para cada contacto.</t>
  </si>
  <si>
    <t xml:space="preserve">    Estima la EDAD si la conoces (no es obligatorio al principio).</t>
  </si>
  <si>
    <t xml:space="preserve">    Asigna SEGMENTO según la tabla de abajo.</t>
  </si>
  <si>
    <t xml:space="preserve">    El ESTADO empieza en "Nuevo" para todos.</t>
  </si>
  <si>
    <t xml:space="preserve">    RGPD: marca "Pendiente" hasta obtener consentimiento explícito.</t>
  </si>
  <si>
    <t>🎯  TABLA DE SEGMENTOS BUYER PERSONA NN</t>
  </si>
  <si>
    <t>SEGMENTO</t>
  </si>
  <si>
    <t>NOMBRE</t>
  </si>
  <si>
    <t>EDAD</t>
  </si>
  <si>
    <t>PERFIL</t>
  </si>
  <si>
    <t>PRODUCTOS PRINCIPALES</t>
  </si>
  <si>
    <t>S1</t>
  </si>
  <si>
    <t>Joven</t>
  </si>
  <si>
    <t>18-30</t>
  </si>
  <si>
    <t>Sin cargas, primeros ingresos</t>
  </si>
  <si>
    <t>MiHogar, Líder Plus Accidentes</t>
  </si>
  <si>
    <t>S2</t>
  </si>
  <si>
    <t>Constructor</t>
  </si>
  <si>
    <t>28-38</t>
  </si>
  <si>
    <t>Pareja/hijos, hipoteca</t>
  </si>
  <si>
    <t>Contigo Familia, MiHogar, Hipotecas ING/Abanca</t>
  </si>
  <si>
    <t>S3</t>
  </si>
  <si>
    <t>Protector Familiar</t>
  </si>
  <si>
    <t>36-52</t>
  </si>
  <si>
    <t>Familia consolidada</t>
  </si>
  <si>
    <t>Contigo Familia, Plan Salud+Vida, SIALP</t>
  </si>
  <si>
    <t>S3A</t>
  </si>
  <si>
    <t>Autónomo</t>
  </si>
  <si>
    <t>Cualquiera</t>
  </si>
  <si>
    <t>Trabajador por cuenta propia</t>
  </si>
  <si>
    <t>PPSA, Contigo Autónomo ILT, Salud Copago Autónomo</t>
  </si>
  <si>
    <t>S4</t>
  </si>
  <si>
    <t>Planificador</t>
  </si>
  <si>
    <t>50-64</t>
  </si>
  <si>
    <t>Pre-jubilación</t>
  </si>
  <si>
    <t>SIALP/Plan Creciente, Contigo Senior, Plan Salud+Vida</t>
  </si>
  <si>
    <t>S5</t>
  </si>
  <si>
    <t>Senior</t>
  </si>
  <si>
    <t>55+</t>
  </si>
  <si>
    <t>Jubilado o cerca</t>
  </si>
  <si>
    <t>Contigo Senior, Plan Salud+Vida</t>
  </si>
  <si>
    <t>👥  MIS CONTACTOS — CRM Personal del Agente NN</t>
  </si>
  <si>
    <t>ID</t>
  </si>
  <si>
    <t>TELÉFONO 1</t>
  </si>
  <si>
    <t>TELÉFONO 2</t>
  </si>
  <si>
    <t>EMAIL</t>
  </si>
  <si>
    <t>EMPRESA</t>
  </si>
  <si>
    <t>PUEBLO / ZONA</t>
  </si>
  <si>
    <t>ORIGEN</t>
  </si>
  <si>
    <t>ESTADO</t>
  </si>
  <si>
    <t>PRODUCTO RECOMENDADO</t>
  </si>
  <si>
    <t>ÚLTIMA LLAMADA</t>
  </si>
  <si>
    <t>RESULTADO</t>
  </si>
  <si>
    <t>PRÓXIMA ACCIÓN</t>
  </si>
  <si>
    <t>FECHA PRÓXIMA</t>
  </si>
  <si>
    <t>NOTAS</t>
  </si>
  <si>
    <t>RGPD</t>
  </si>
  <si>
    <t>📊  RESUMEN DE MI CARTERA DE CONTACTOS</t>
  </si>
  <si>
    <t>🎯  ESTADO DE MIS CONTACTOS</t>
  </si>
  <si>
    <t>Total contactos</t>
  </si>
  <si>
    <t>Nuevos (sin contactar)</t>
  </si>
  <si>
    <t>Contactados</t>
  </si>
  <si>
    <t>Citas fijadas</t>
  </si>
  <si>
    <t>Clientes conseguidos</t>
  </si>
  <si>
    <t>No interesados</t>
  </si>
  <si>
    <t>BAJA (no contactar)</t>
  </si>
  <si>
    <t>📊  CONTACTOS POR SEGMENTO</t>
  </si>
  <si>
    <t>S1 Joven</t>
  </si>
  <si>
    <t>S2 Constructor</t>
  </si>
  <si>
    <t>S3 Protector</t>
  </si>
  <si>
    <t>S3A Autónomo</t>
  </si>
  <si>
    <t>S4 Planificador</t>
  </si>
  <si>
    <t>S5 Senior</t>
  </si>
  <si>
    <t>Sin segmentar</t>
  </si>
  <si>
    <t>⚖️  ESTADO RGPD</t>
  </si>
  <si>
    <t>Consentimiento obtenido</t>
  </si>
  <si>
    <t>Pendiente</t>
  </si>
  <si>
    <t>Interés legítimo</t>
  </si>
  <si>
    <t>Sin base legal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</si>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</sst>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C94D00"/>
      <name val="Arial"/>
      <charset val="1"/>
    </font>
    <font>
      <b/>
      <sz val="13"/>
      <color rgb="FFC94D00"/>
      <name val="Arial"/>
      <charset val="1"/>
    </font>
    <font>
      <b/>
      <sz val="11"/>
      <color rgb="FF333333"/>
      <name val="Arial"/>
      <charset val="1"/>
    </font>
    <font>
      <sz val="11"/>
      <color rgb="FF333333"/>
      <name val="Arial"/>
      <charset val="1"/>
    </font>
    <font>
      <b/>
      <sz val="12"/>
      <color rgb="FFC94D00"/>
      <name val="Arial"/>
      <charset val="1"/>
    </font>
    <font>
      <b/>
      <sz val="11"/>
      <color rgb="FFFFFFFF"/>
      <name val="Arial"/>
      <charset val="1"/>
    </font>
    <font>
      <b/>
      <sz val="14"/>
      <color rgb="FFC94D00"/>
      <name val="Arial"/>
      <charset val="1"/>
    </font>
    <font>
      <b/>
      <sz val="14"/>
      <color rgb="FF1565C0"/>
      <name val="Arial"/>
      <charset val="1"/>
    </font>
    <font>
      <b/>
      <sz val="14"/>
      <color rgb="FF2E7D32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FF3E0"/>
        <bgColor rgb="FFFAFAFA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C94D00"/>
        <bgColor rgb="FFFF6600"/>
      </patternFill>
    </fill>
    <fill>
      <patternFill patternType="solid">
        <fgColor rgb="FFFAFAFA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2" xfId="0" applyFont="1" applyBorder="1"/>
    <xf numFmtId="0" fontId="6" fillId="5" borderId="0" xfId="0" applyFont="1" applyFill="1" applyBorder="1"/>
    <xf numFmtId="0" fontId="6" fillId="4" borderId="0" xfId="0" applyFont="1" applyFill="1" applyBorder="1"/>
    <xf numFmtId="0" fontId="6" fillId="0" borderId="0" xfId="0" applyFont="1" applyBorder="1"/>
    <xf numFmtId="0" fontId="5" fillId="0" borderId="0" xfId="0" applyFont="1" applyBorder="1" applyAlignment="1">
      <alignment horizontal="left" vertical="center" wrapText="1"/>
    </xf>
    <xf numFmtId="0" fontId="4" fillId="3" borderId="0" xfId="0" applyFont="1" applyFill="1" applyBorder="1"/>
    <xf numFmtId="0" fontId="3" fillId="3" borderId="0" xfId="0" applyFont="1" applyFill="1" applyBorder="1"/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CCCCCC"/>
      <rgbColor rgb="FF808080"/>
      <rgbColor rgb="FF9999FF"/>
      <rgbColor rgb="FF993366"/>
      <rgbColor rgb="FFFFF3E0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AFA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A1628"/>
      <rgbColor rgb="FF333300"/>
      <rgbColor rgb="FFC94D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4D00"/>
  </sheetPr>
  <dimension ref="A1:G25"/>
  <sheetViews>
    <sheetView zoomScaleNormal="100" workbookViewId="0">
      <selection sqref="A1:G1"/>
    </sheetView>
  </sheetViews>
  <sheetFormatPr baseColWidth="10" defaultColWidth="8.7109375" defaultRowHeight="15" x14ac:dyDescent="0.25"/>
  <cols>
    <col min="1" max="7" width="18" customWidth="1"/>
  </cols>
  <sheetData>
    <row r="1" spans="1:7" ht="45" customHeight="1" x14ac:dyDescent="0.25">
      <c r="A1" s="9" t="s">
        <v>0</v>
      </c>
      <c r="B1" s="9"/>
      <c r="C1" s="9"/>
      <c r="D1" s="9"/>
      <c r="E1" s="9"/>
      <c r="F1" s="9"/>
      <c r="G1" s="9"/>
    </row>
    <row r="2" spans="1:7" ht="30" customHeight="1" x14ac:dyDescent="0.25">
      <c r="A2" s="8" t="s">
        <v>1</v>
      </c>
      <c r="B2" s="8"/>
      <c r="C2" s="8"/>
      <c r="D2" s="8"/>
      <c r="E2" s="8"/>
      <c r="F2" s="8"/>
      <c r="G2" s="8"/>
    </row>
    <row r="4" spans="1:7" ht="30" customHeight="1" x14ac:dyDescent="0.25">
      <c r="A4" s="7" t="s">
        <v>2</v>
      </c>
      <c r="B4" s="7"/>
      <c r="C4" s="6" t="s">
        <v>3</v>
      </c>
      <c r="D4" s="6"/>
      <c r="E4" s="6"/>
      <c r="F4" s="6"/>
      <c r="G4" s="6"/>
    </row>
    <row r="5" spans="1:7" ht="45" customHeight="1" x14ac:dyDescent="0.25">
      <c r="A5" s="5" t="s">
        <v>4</v>
      </c>
      <c r="B5" s="5"/>
      <c r="C5" s="5"/>
      <c r="D5" s="5"/>
      <c r="E5" s="5"/>
      <c r="F5" s="5"/>
      <c r="G5" s="5"/>
    </row>
    <row r="7" spans="1:7" ht="30" customHeight="1" x14ac:dyDescent="0.25">
      <c r="A7" s="7" t="s">
        <v>5</v>
      </c>
      <c r="B7" s="7"/>
      <c r="C7" s="6" t="s">
        <v>6</v>
      </c>
      <c r="D7" s="6"/>
      <c r="E7" s="6"/>
      <c r="F7" s="6"/>
      <c r="G7" s="6"/>
    </row>
    <row r="8" spans="1:7" ht="45" customHeight="1" x14ac:dyDescent="0.25">
      <c r="A8" s="5" t="s">
        <v>7</v>
      </c>
      <c r="B8" s="5"/>
      <c r="C8" s="5"/>
      <c r="D8" s="5"/>
      <c r="E8" s="5"/>
      <c r="F8" s="5"/>
      <c r="G8" s="5"/>
    </row>
    <row r="10" spans="1:7" ht="30" customHeight="1" x14ac:dyDescent="0.25">
      <c r="A10" s="7" t="s">
        <v>8</v>
      </c>
      <c r="B10" s="7"/>
      <c r="C10" s="6" t="s">
        <v>9</v>
      </c>
      <c r="D10" s="6"/>
      <c r="E10" s="6"/>
      <c r="F10" s="6"/>
      <c r="G10" s="6"/>
    </row>
    <row r="11" spans="1:7" ht="45" customHeight="1" x14ac:dyDescent="0.25">
      <c r="A11" s="5" t="s">
        <v>10</v>
      </c>
      <c r="B11" s="5"/>
      <c r="C11" s="5"/>
      <c r="D11" s="5"/>
      <c r="E11" s="5"/>
      <c r="F11" s="5"/>
      <c r="G11" s="5"/>
    </row>
    <row r="13" spans="1:7" ht="30" customHeight="1" x14ac:dyDescent="0.25">
      <c r="A13" s="7" t="s">
        <v>11</v>
      </c>
      <c r="B13" s="7"/>
      <c r="C13" s="6" t="s">
        <v>12</v>
      </c>
      <c r="D13" s="6"/>
      <c r="E13" s="6"/>
      <c r="F13" s="6"/>
      <c r="G13" s="6"/>
    </row>
    <row r="14" spans="1:7" ht="45" customHeight="1" x14ac:dyDescent="0.25">
      <c r="A14" s="5" t="s">
        <v>13</v>
      </c>
      <c r="B14" s="5"/>
      <c r="C14" s="5"/>
      <c r="D14" s="5"/>
      <c r="E14" s="5"/>
      <c r="F14" s="5"/>
      <c r="G14" s="5"/>
    </row>
    <row r="16" spans="1:7" ht="30" customHeight="1" x14ac:dyDescent="0.25">
      <c r="A16" s="7" t="s">
        <v>14</v>
      </c>
      <c r="B16" s="7"/>
      <c r="C16" s="6" t="s">
        <v>15</v>
      </c>
      <c r="D16" s="6"/>
      <c r="E16" s="6"/>
      <c r="F16" s="6"/>
      <c r="G16" s="6"/>
    </row>
    <row r="17" spans="1:7" ht="45" customHeight="1" x14ac:dyDescent="0.25">
      <c r="A17" s="5" t="s">
        <v>16</v>
      </c>
      <c r="B17" s="5"/>
      <c r="C17" s="5"/>
      <c r="D17" s="5"/>
      <c r="E17" s="5"/>
      <c r="F17" s="5"/>
      <c r="G17" s="5"/>
    </row>
    <row r="20" spans="1:7" ht="30" customHeight="1" x14ac:dyDescent="0.25">
      <c r="A20" s="4" t="s">
        <v>17</v>
      </c>
      <c r="B20" s="4"/>
      <c r="C20" s="4"/>
      <c r="D20" s="4"/>
      <c r="E20" s="4"/>
      <c r="F20" s="4"/>
      <c r="G20" s="4"/>
    </row>
    <row r="21" spans="1:7" ht="24.75" customHeight="1" x14ac:dyDescent="0.25">
      <c r="A21" s="5" t="s">
        <v>18</v>
      </c>
      <c r="B21" s="5"/>
      <c r="C21" s="5"/>
      <c r="D21" s="5"/>
      <c r="E21" s="5"/>
      <c r="F21" s="5"/>
      <c r="G21" s="5"/>
    </row>
    <row r="22" spans="1:7" ht="24.75" customHeight="1" x14ac:dyDescent="0.25">
      <c r="A22" s="5" t="s">
        <v>19</v>
      </c>
      <c r="B22" s="5"/>
      <c r="C22" s="5"/>
      <c r="D22" s="5"/>
      <c r="E22" s="5"/>
      <c r="F22" s="5"/>
      <c r="G22" s="5"/>
    </row>
    <row r="23" spans="1:7" ht="24.75" customHeight="1" x14ac:dyDescent="0.25">
      <c r="A23" s="5" t="s">
        <v>20</v>
      </c>
      <c r="B23" s="5"/>
      <c r="C23" s="5"/>
      <c r="D23" s="5"/>
      <c r="E23" s="5"/>
      <c r="F23" s="5"/>
      <c r="G23" s="5"/>
    </row>
    <row r="24" spans="1:7" ht="24.75" customHeight="1" x14ac:dyDescent="0.25">
      <c r="A24" s="5" t="s">
        <v>21</v>
      </c>
      <c r="B24" s="5"/>
      <c r="C24" s="5"/>
      <c r="D24" s="5"/>
      <c r="E24" s="5"/>
      <c r="F24" s="5"/>
      <c r="G24" s="5"/>
    </row>
    <row r="25" spans="1:7" ht="24.75" customHeight="1" x14ac:dyDescent="0.25">
      <c r="A25" s="5" t="s">
        <v>22</v>
      </c>
      <c r="B25" s="5"/>
      <c r="C25" s="5"/>
      <c r="D25" s="5"/>
      <c r="E25" s="5"/>
      <c r="F25" s="5"/>
      <c r="G25" s="5"/>
    </row>
  </sheetData>
  <mergeCells count="23">
    <mergeCell ref="A24:G24"/>
    <mergeCell ref="A25:G25"/>
    <mergeCell ref="A17:G17"/>
    <mergeCell ref="A20:G20"/>
    <mergeCell ref="A21:G21"/>
    <mergeCell ref="A22:G22"/>
    <mergeCell ref="A23:G23"/>
    <mergeCell ref="A11:G11"/>
    <mergeCell ref="A13:B13"/>
    <mergeCell ref="C13:G13"/>
    <mergeCell ref="A14:G14"/>
    <mergeCell ref="A16:B16"/>
    <mergeCell ref="C16:G16"/>
    <mergeCell ref="A7:B7"/>
    <mergeCell ref="C7:G7"/>
    <mergeCell ref="A8:G8"/>
    <mergeCell ref="A10:B10"/>
    <mergeCell ref="C10:G10"/>
    <mergeCell ref="A1:G1"/>
    <mergeCell ref="A2:G2"/>
    <mergeCell ref="A4:B4"/>
    <mergeCell ref="C4:G4"/>
    <mergeCell ref="A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H37"/>
  <sheetViews>
    <sheetView topLeftCell="A8" zoomScaleNormal="100" workbookViewId="0">
      <selection sqref="A1:H1"/>
    </sheetView>
  </sheetViews>
  <sheetFormatPr baseColWidth="10" defaultColWidth="8.7109375" defaultRowHeight="15" x14ac:dyDescent="0.25"/>
  <cols>
    <col min="1" max="8" width="22" customWidth="1"/>
  </cols>
  <sheetData>
    <row r="1" spans="1:8" ht="45" customHeight="1" x14ac:dyDescent="0.25">
      <c r="A1" s="9" t="s">
        <v>23</v>
      </c>
      <c r="B1" s="9"/>
      <c r="C1" s="9"/>
      <c r="D1" s="9"/>
      <c r="E1" s="9"/>
      <c r="F1" s="9"/>
      <c r="G1" s="9"/>
      <c r="H1" s="9"/>
    </row>
    <row r="3" spans="1:8" ht="30" customHeight="1" x14ac:dyDescent="0.25">
      <c r="A3" s="3" t="s">
        <v>24</v>
      </c>
      <c r="B3" s="3"/>
      <c r="C3" s="3"/>
      <c r="D3" s="3"/>
      <c r="E3" s="3"/>
      <c r="F3" s="3"/>
      <c r="G3" s="3"/>
      <c r="H3" s="3"/>
    </row>
    <row r="4" spans="1:8" ht="21.75" customHeight="1" x14ac:dyDescent="0.25">
      <c r="A4" s="5" t="s">
        <v>25</v>
      </c>
      <c r="B4" s="5"/>
      <c r="C4" s="5"/>
      <c r="D4" s="5"/>
      <c r="E4" s="5"/>
      <c r="F4" s="5"/>
      <c r="G4" s="5"/>
      <c r="H4" s="5"/>
    </row>
    <row r="5" spans="1:8" ht="21.75" customHeight="1" x14ac:dyDescent="0.25">
      <c r="A5" s="5" t="s">
        <v>26</v>
      </c>
      <c r="B5" s="5"/>
      <c r="C5" s="5"/>
      <c r="D5" s="5"/>
      <c r="E5" s="5"/>
      <c r="F5" s="5"/>
      <c r="G5" s="5"/>
      <c r="H5" s="5"/>
    </row>
    <row r="6" spans="1:8" ht="21.75" customHeight="1" x14ac:dyDescent="0.25">
      <c r="A6" s="5" t="s">
        <v>27</v>
      </c>
      <c r="B6" s="5"/>
      <c r="C6" s="5"/>
      <c r="D6" s="5"/>
      <c r="E6" s="5"/>
      <c r="F6" s="5"/>
      <c r="G6" s="5"/>
      <c r="H6" s="5"/>
    </row>
    <row r="7" spans="1:8" ht="21.75" customHeight="1" x14ac:dyDescent="0.25">
      <c r="A7" s="5" t="s">
        <v>28</v>
      </c>
      <c r="B7" s="5"/>
      <c r="C7" s="5"/>
      <c r="D7" s="5"/>
      <c r="E7" s="5"/>
      <c r="F7" s="5"/>
      <c r="G7" s="5"/>
      <c r="H7" s="5"/>
    </row>
    <row r="8" spans="1:8" ht="21.75" customHeight="1" x14ac:dyDescent="0.25">
      <c r="A8" s="5" t="s">
        <v>29</v>
      </c>
      <c r="B8" s="5"/>
      <c r="C8" s="5"/>
      <c r="D8" s="5"/>
      <c r="E8" s="5"/>
      <c r="F8" s="5"/>
      <c r="G8" s="5"/>
      <c r="H8" s="5"/>
    </row>
    <row r="10" spans="1:8" ht="30" customHeight="1" x14ac:dyDescent="0.25">
      <c r="A10" s="3" t="s">
        <v>30</v>
      </c>
      <c r="B10" s="3"/>
      <c r="C10" s="3"/>
      <c r="D10" s="3"/>
      <c r="E10" s="3"/>
      <c r="F10" s="3"/>
      <c r="G10" s="3"/>
      <c r="H10" s="3"/>
    </row>
    <row r="11" spans="1:8" ht="21.75" customHeight="1" x14ac:dyDescent="0.25">
      <c r="A11" s="5" t="s">
        <v>31</v>
      </c>
      <c r="B11" s="5"/>
      <c r="C11" s="5"/>
      <c r="D11" s="5"/>
      <c r="E11" s="5"/>
      <c r="F11" s="5"/>
      <c r="G11" s="5"/>
      <c r="H11" s="5"/>
    </row>
    <row r="12" spans="1:8" ht="21.75" customHeight="1" x14ac:dyDescent="0.25">
      <c r="A12" s="5" t="s">
        <v>32</v>
      </c>
      <c r="B12" s="5"/>
      <c r="C12" s="5"/>
      <c r="D12" s="5"/>
      <c r="E12" s="5"/>
      <c r="F12" s="5"/>
      <c r="G12" s="5"/>
      <c r="H12" s="5"/>
    </row>
    <row r="13" spans="1:8" ht="21.75" customHeight="1" x14ac:dyDescent="0.25">
      <c r="A13" s="5" t="s">
        <v>33</v>
      </c>
      <c r="B13" s="5"/>
      <c r="C13" s="5"/>
      <c r="D13" s="5"/>
      <c r="E13" s="5"/>
      <c r="F13" s="5"/>
      <c r="G13" s="5"/>
      <c r="H13" s="5"/>
    </row>
    <row r="15" spans="1:8" ht="30" customHeight="1" x14ac:dyDescent="0.25">
      <c r="A15" s="3" t="s">
        <v>34</v>
      </c>
      <c r="B15" s="3"/>
      <c r="C15" s="3"/>
      <c r="D15" s="3"/>
      <c r="E15" s="3"/>
      <c r="F15" s="3"/>
      <c r="G15" s="3"/>
      <c r="H15" s="3"/>
    </row>
    <row r="16" spans="1:8" ht="21.75" customHeight="1" x14ac:dyDescent="0.25">
      <c r="A16" s="5" t="s">
        <v>35</v>
      </c>
      <c r="B16" s="5"/>
      <c r="C16" s="5"/>
      <c r="D16" s="5"/>
      <c r="E16" s="5"/>
      <c r="F16" s="5"/>
      <c r="G16" s="5"/>
      <c r="H16" s="5"/>
    </row>
    <row r="17" spans="1:8" ht="21.75" customHeight="1" x14ac:dyDescent="0.25">
      <c r="A17" s="5" t="s">
        <v>36</v>
      </c>
      <c r="B17" s="5"/>
      <c r="C17" s="5"/>
      <c r="D17" s="5"/>
      <c r="E17" s="5"/>
      <c r="F17" s="5"/>
      <c r="G17" s="5"/>
      <c r="H17" s="5"/>
    </row>
    <row r="18" spans="1:8" ht="21.75" customHeight="1" x14ac:dyDescent="0.25">
      <c r="A18" s="5" t="s">
        <v>37</v>
      </c>
      <c r="B18" s="5"/>
      <c r="C18" s="5"/>
      <c r="D18" s="5"/>
      <c r="E18" s="5"/>
      <c r="F18" s="5"/>
      <c r="G18" s="5"/>
      <c r="H18" s="5"/>
    </row>
    <row r="19" spans="1:8" ht="21.75" customHeight="1" x14ac:dyDescent="0.25">
      <c r="A19" s="5" t="s">
        <v>38</v>
      </c>
      <c r="B19" s="5"/>
      <c r="C19" s="5"/>
      <c r="D19" s="5"/>
      <c r="E19" s="5"/>
      <c r="F19" s="5"/>
      <c r="G19" s="5"/>
      <c r="H19" s="5"/>
    </row>
    <row r="20" spans="1:8" ht="21.75" customHeight="1" x14ac:dyDescent="0.25">
      <c r="A20" s="5" t="s">
        <v>39</v>
      </c>
      <c r="B20" s="5"/>
      <c r="C20" s="5"/>
      <c r="D20" s="5"/>
      <c r="E20" s="5"/>
      <c r="F20" s="5"/>
      <c r="G20" s="5"/>
      <c r="H20" s="5"/>
    </row>
    <row r="22" spans="1:8" ht="30" customHeight="1" x14ac:dyDescent="0.25">
      <c r="A22" s="3" t="s">
        <v>40</v>
      </c>
      <c r="B22" s="3"/>
      <c r="C22" s="3"/>
      <c r="D22" s="3"/>
      <c r="E22" s="3"/>
      <c r="F22" s="3"/>
      <c r="G22" s="3"/>
      <c r="H22" s="3"/>
    </row>
    <row r="23" spans="1:8" ht="21.75" customHeight="1" x14ac:dyDescent="0.25">
      <c r="A23" s="5" t="s">
        <v>41</v>
      </c>
      <c r="B23" s="5"/>
      <c r="C23" s="5"/>
      <c r="D23" s="5"/>
      <c r="E23" s="5"/>
      <c r="F23" s="5"/>
      <c r="G23" s="5"/>
      <c r="H23" s="5"/>
    </row>
    <row r="24" spans="1:8" ht="21.75" customHeight="1" x14ac:dyDescent="0.25">
      <c r="A24" s="5" t="s">
        <v>42</v>
      </c>
      <c r="B24" s="5"/>
      <c r="C24" s="5"/>
      <c r="D24" s="5"/>
      <c r="E24" s="5"/>
      <c r="F24" s="5"/>
      <c r="G24" s="5"/>
      <c r="H24" s="5"/>
    </row>
    <row r="25" spans="1:8" ht="21.75" customHeight="1" x14ac:dyDescent="0.25">
      <c r="A25" s="5" t="s">
        <v>43</v>
      </c>
      <c r="B25" s="5"/>
      <c r="C25" s="5"/>
      <c r="D25" s="5"/>
      <c r="E25" s="5"/>
      <c r="F25" s="5"/>
      <c r="G25" s="5"/>
      <c r="H25" s="5"/>
    </row>
    <row r="26" spans="1:8" ht="21.75" customHeight="1" x14ac:dyDescent="0.25">
      <c r="A26" s="5" t="s">
        <v>44</v>
      </c>
      <c r="B26" s="5"/>
      <c r="C26" s="5"/>
      <c r="D26" s="5"/>
      <c r="E26" s="5"/>
      <c r="F26" s="5"/>
      <c r="G26" s="5"/>
      <c r="H26" s="5"/>
    </row>
    <row r="27" spans="1:8" ht="21.75" customHeight="1" x14ac:dyDescent="0.25">
      <c r="A27" s="5" t="s">
        <v>45</v>
      </c>
      <c r="B27" s="5"/>
      <c r="C27" s="5"/>
      <c r="D27" s="5"/>
      <c r="E27" s="5"/>
      <c r="F27" s="5"/>
      <c r="G27" s="5"/>
      <c r="H27" s="5"/>
    </row>
    <row r="30" spans="1:8" ht="30" customHeight="1" x14ac:dyDescent="0.25">
      <c r="A30" s="2" t="s">
        <v>46</v>
      </c>
      <c r="B30" s="2"/>
      <c r="C30" s="2"/>
      <c r="D30" s="2"/>
      <c r="E30" s="2"/>
      <c r="F30" s="2"/>
      <c r="G30" s="2"/>
      <c r="H30" s="2"/>
    </row>
    <row r="31" spans="1:8" ht="27.75" customHeight="1" x14ac:dyDescent="0.25">
      <c r="A31" s="10" t="s">
        <v>47</v>
      </c>
      <c r="B31" s="10" t="s">
        <v>48</v>
      </c>
      <c r="C31" s="10" t="s">
        <v>49</v>
      </c>
      <c r="D31" s="10" t="s">
        <v>50</v>
      </c>
      <c r="E31" s="10" t="s">
        <v>51</v>
      </c>
    </row>
    <row r="32" spans="1:8" ht="41.25" customHeight="1" x14ac:dyDescent="0.25">
      <c r="A32" s="11" t="s">
        <v>52</v>
      </c>
      <c r="B32" s="11" t="s">
        <v>53</v>
      </c>
      <c r="C32" s="11" t="s">
        <v>54</v>
      </c>
      <c r="D32" s="11" t="s">
        <v>55</v>
      </c>
      <c r="E32" s="11" t="s">
        <v>56</v>
      </c>
    </row>
    <row r="33" spans="1:5" ht="48.75" customHeight="1" x14ac:dyDescent="0.25">
      <c r="A33" s="11" t="s">
        <v>57</v>
      </c>
      <c r="B33" s="11" t="s">
        <v>58</v>
      </c>
      <c r="C33" s="11" t="s">
        <v>59</v>
      </c>
      <c r="D33" s="11" t="s">
        <v>60</v>
      </c>
      <c r="E33" s="11" t="s">
        <v>61</v>
      </c>
    </row>
    <row r="34" spans="1:5" ht="45" customHeight="1" x14ac:dyDescent="0.25">
      <c r="A34" s="11" t="s">
        <v>62</v>
      </c>
      <c r="B34" s="11" t="s">
        <v>63</v>
      </c>
      <c r="C34" s="11" t="s">
        <v>64</v>
      </c>
      <c r="D34" s="11" t="s">
        <v>65</v>
      </c>
      <c r="E34" s="11" t="s">
        <v>66</v>
      </c>
    </row>
    <row r="35" spans="1:5" ht="48" customHeight="1" x14ac:dyDescent="0.25">
      <c r="A35" s="11" t="s">
        <v>67</v>
      </c>
      <c r="B35" s="11" t="s">
        <v>68</v>
      </c>
      <c r="C35" s="11" t="s">
        <v>69</v>
      </c>
      <c r="D35" s="11" t="s">
        <v>70</v>
      </c>
      <c r="E35" s="11" t="s">
        <v>71</v>
      </c>
    </row>
    <row r="36" spans="1:5" ht="45" customHeight="1" x14ac:dyDescent="0.25">
      <c r="A36" s="11" t="s">
        <v>72</v>
      </c>
      <c r="B36" s="11" t="s">
        <v>73</v>
      </c>
      <c r="C36" s="11" t="s">
        <v>74</v>
      </c>
      <c r="D36" s="11" t="s">
        <v>75</v>
      </c>
      <c r="E36" s="11" t="s">
        <v>76</v>
      </c>
    </row>
    <row r="37" spans="1:5" ht="40.5" customHeight="1" x14ac:dyDescent="0.25">
      <c r="A37" s="11" t="s">
        <v>77</v>
      </c>
      <c r="B37" s="11" t="s">
        <v>78</v>
      </c>
      <c r="C37" s="11" t="s">
        <v>79</v>
      </c>
      <c r="D37" s="11" t="s">
        <v>80</v>
      </c>
      <c r="E37" s="11" t="s">
        <v>81</v>
      </c>
    </row>
  </sheetData>
  <mergeCells count="24">
    <mergeCell ref="A25:H25"/>
    <mergeCell ref="A26:H26"/>
    <mergeCell ref="A27:H27"/>
    <mergeCell ref="A30:H30"/>
    <mergeCell ref="A19:H19"/>
    <mergeCell ref="A20:H20"/>
    <mergeCell ref="A22:H22"/>
    <mergeCell ref="A23:H23"/>
    <mergeCell ref="A24:H24"/>
    <mergeCell ref="A13:H13"/>
    <mergeCell ref="A15:H15"/>
    <mergeCell ref="A16:H16"/>
    <mergeCell ref="A17:H17"/>
    <mergeCell ref="A18:H18"/>
    <mergeCell ref="A7:H7"/>
    <mergeCell ref="A8:H8"/>
    <mergeCell ref="A10:H10"/>
    <mergeCell ref="A11:H11"/>
    <mergeCell ref="A12:H12"/>
    <mergeCell ref="A1:H1"/>
    <mergeCell ref="A3:H3"/>
    <mergeCell ref="A4:H4"/>
    <mergeCell ref="A5:H5"/>
    <mergeCell ref="A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R50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R1"/>
    </sheetView>
  </sheetViews>
  <sheetFormatPr baseColWidth="10" defaultColWidth="8.7109375" defaultRowHeight="15" x14ac:dyDescent="0.25"/>
  <cols>
    <col min="1" max="1" width="6" customWidth="1"/>
    <col min="2" max="2" width="25" customWidth="1"/>
    <col min="3" max="4" width="16" customWidth="1"/>
    <col min="5" max="5" width="25" customWidth="1"/>
    <col min="6" max="6" width="20" customWidth="1"/>
    <col min="7" max="7" width="18" customWidth="1"/>
    <col min="8" max="8" width="8" customWidth="1"/>
    <col min="9" max="9" width="14" customWidth="1"/>
    <col min="10" max="11" width="16" customWidth="1"/>
    <col min="12" max="12" width="24" customWidth="1"/>
    <col min="13" max="13" width="15" customWidth="1"/>
    <col min="14" max="14" width="18" customWidth="1"/>
    <col min="15" max="15" width="22" customWidth="1"/>
    <col min="16" max="16" width="15" customWidth="1"/>
    <col min="17" max="17" width="30" customWidth="1"/>
    <col min="18" max="18" width="16" customWidth="1"/>
  </cols>
  <sheetData>
    <row r="1" spans="1:18" ht="39.75" customHeight="1" x14ac:dyDescent="0.25">
      <c r="A1" s="9" t="s">
        <v>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30" customHeight="1" x14ac:dyDescent="0.25">
      <c r="A2" s="10" t="s">
        <v>83</v>
      </c>
      <c r="B2" s="10" t="s">
        <v>48</v>
      </c>
      <c r="C2" s="10" t="s">
        <v>84</v>
      </c>
      <c r="D2" s="10" t="s">
        <v>85</v>
      </c>
      <c r="E2" s="10" t="s">
        <v>86</v>
      </c>
      <c r="F2" s="10" t="s">
        <v>87</v>
      </c>
      <c r="G2" s="10" t="s">
        <v>88</v>
      </c>
      <c r="H2" s="10" t="s">
        <v>49</v>
      </c>
      <c r="I2" s="10" t="s">
        <v>47</v>
      </c>
      <c r="J2" s="10" t="s">
        <v>89</v>
      </c>
      <c r="K2" s="10" t="s">
        <v>90</v>
      </c>
      <c r="L2" s="10" t="s">
        <v>91</v>
      </c>
      <c r="M2" s="10" t="s">
        <v>92</v>
      </c>
      <c r="N2" s="10" t="s">
        <v>93</v>
      </c>
      <c r="O2" s="10" t="s">
        <v>94</v>
      </c>
      <c r="P2" s="10" t="s">
        <v>95</v>
      </c>
      <c r="Q2" s="10" t="s">
        <v>96</v>
      </c>
      <c r="R2" s="10" t="s">
        <v>97</v>
      </c>
    </row>
    <row r="3" spans="1:18" ht="21.75" customHeight="1" x14ac:dyDescent="0.25">
      <c r="A3" s="12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21.75" customHeight="1" x14ac:dyDescent="0.25">
      <c r="A4" s="14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21.75" customHeight="1" x14ac:dyDescent="0.25">
      <c r="A5" s="12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ht="21.75" customHeight="1" x14ac:dyDescent="0.25">
      <c r="A6" s="14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8" ht="21.75" customHeight="1" x14ac:dyDescent="0.25">
      <c r="A7" s="12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18" ht="21.75" customHeight="1" x14ac:dyDescent="0.25">
      <c r="A8" s="14">
        <v>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ht="21.75" customHeight="1" x14ac:dyDescent="0.25">
      <c r="A9" s="12">
        <v>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ht="21.75" customHeight="1" x14ac:dyDescent="0.25">
      <c r="A10" s="14">
        <v>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21.75" customHeight="1" x14ac:dyDescent="0.25">
      <c r="A11" s="12">
        <v>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ht="21.75" customHeight="1" x14ac:dyDescent="0.25">
      <c r="A12" s="14">
        <v>10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21.75" customHeight="1" x14ac:dyDescent="0.25">
      <c r="A13" s="12">
        <v>11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ht="21.75" customHeight="1" x14ac:dyDescent="0.25">
      <c r="A14" s="14">
        <v>12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ht="21.75" customHeight="1" x14ac:dyDescent="0.25">
      <c r="A15" s="12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ht="21.75" customHeight="1" x14ac:dyDescent="0.25">
      <c r="A16" s="14">
        <v>14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 ht="21.75" customHeight="1" x14ac:dyDescent="0.25">
      <c r="A17" s="12">
        <v>15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ht="21.75" customHeight="1" x14ac:dyDescent="0.25">
      <c r="A18" s="14">
        <v>16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 ht="21.75" customHeight="1" x14ac:dyDescent="0.25">
      <c r="A19" s="12">
        <v>17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ht="21.75" customHeight="1" x14ac:dyDescent="0.25">
      <c r="A20" s="14">
        <v>18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ht="21.75" customHeight="1" x14ac:dyDescent="0.25">
      <c r="A21" s="12">
        <v>19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21.75" customHeight="1" x14ac:dyDescent="0.25">
      <c r="A22" s="14">
        <v>20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21.75" customHeight="1" x14ac:dyDescent="0.25">
      <c r="A23" s="12">
        <v>21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ht="21.75" customHeight="1" x14ac:dyDescent="0.25">
      <c r="A24" s="14">
        <v>22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pans="1:18" ht="21.75" customHeight="1" x14ac:dyDescent="0.25">
      <c r="A25" s="12">
        <v>23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ht="21.75" customHeight="1" x14ac:dyDescent="0.25">
      <c r="A26" s="14">
        <v>24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1:18" ht="21.75" customHeight="1" x14ac:dyDescent="0.25">
      <c r="A27" s="12">
        <v>25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ht="21.75" customHeight="1" x14ac:dyDescent="0.25">
      <c r="A28" s="14">
        <v>26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18" ht="21.75" customHeight="1" x14ac:dyDescent="0.25">
      <c r="A29" s="12">
        <v>27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ht="21.75" customHeight="1" x14ac:dyDescent="0.25">
      <c r="A30" s="14">
        <v>28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18" ht="21.75" customHeight="1" x14ac:dyDescent="0.25">
      <c r="A31" s="12">
        <v>29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ht="21.75" customHeight="1" x14ac:dyDescent="0.25">
      <c r="A32" s="14">
        <v>30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1:18" ht="21.75" customHeight="1" x14ac:dyDescent="0.25">
      <c r="A33" s="12">
        <v>31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ht="21.75" customHeight="1" x14ac:dyDescent="0.25">
      <c r="A34" s="14">
        <v>32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1:18" ht="21.75" customHeight="1" x14ac:dyDescent="0.25">
      <c r="A35" s="12">
        <v>33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ht="21.75" customHeight="1" x14ac:dyDescent="0.25">
      <c r="A36" s="14">
        <v>34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 ht="21.75" customHeight="1" x14ac:dyDescent="0.25">
      <c r="A37" s="12">
        <v>35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ht="21.75" customHeight="1" x14ac:dyDescent="0.25">
      <c r="A38" s="14">
        <v>36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1:18" ht="21.75" customHeight="1" x14ac:dyDescent="0.25">
      <c r="A39" s="12">
        <v>37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ht="21.75" customHeight="1" x14ac:dyDescent="0.25">
      <c r="A40" s="14">
        <v>38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spans="1:18" ht="21.75" customHeight="1" x14ac:dyDescent="0.25">
      <c r="A41" s="12">
        <v>39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ht="21.75" customHeight="1" x14ac:dyDescent="0.25">
      <c r="A42" s="14">
        <v>40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 spans="1:18" ht="21.75" customHeight="1" x14ac:dyDescent="0.25">
      <c r="A43" s="12">
        <v>41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ht="21.75" customHeight="1" x14ac:dyDescent="0.25">
      <c r="A44" s="14">
        <v>42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spans="1:18" ht="21.75" customHeight="1" x14ac:dyDescent="0.25">
      <c r="A45" s="12">
        <v>43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18" ht="21.75" customHeight="1" x14ac:dyDescent="0.25">
      <c r="A46" s="14">
        <v>44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spans="1:18" ht="21.75" customHeight="1" x14ac:dyDescent="0.25">
      <c r="A47" s="12">
        <v>45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 ht="21.75" customHeight="1" x14ac:dyDescent="0.25">
      <c r="A48" s="14">
        <v>46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 ht="21.75" customHeight="1" x14ac:dyDescent="0.25">
      <c r="A49" s="12">
        <v>47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ht="21.75" customHeight="1" x14ac:dyDescent="0.25">
      <c r="A50" s="14">
        <v>48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spans="1:18" ht="21.75" customHeight="1" x14ac:dyDescent="0.25">
      <c r="A51" s="12">
        <v>49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ht="21.75" customHeight="1" x14ac:dyDescent="0.25">
      <c r="A52" s="14">
        <v>50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 spans="1:18" ht="21.75" customHeight="1" x14ac:dyDescent="0.25">
      <c r="A53" s="12">
        <v>51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ht="21.75" customHeight="1" x14ac:dyDescent="0.25">
      <c r="A54" s="14">
        <v>52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 spans="1:18" ht="21.75" customHeight="1" x14ac:dyDescent="0.25">
      <c r="A55" s="12">
        <v>53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ht="21.75" customHeight="1" x14ac:dyDescent="0.25">
      <c r="A56" s="14">
        <v>54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spans="1:18" ht="21.75" customHeight="1" x14ac:dyDescent="0.25">
      <c r="A57" s="12">
        <v>55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ht="21.75" customHeight="1" x14ac:dyDescent="0.25">
      <c r="A58" s="14">
        <v>56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 spans="1:18" ht="21.75" customHeight="1" x14ac:dyDescent="0.25">
      <c r="A59" s="12">
        <v>57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 ht="21.75" customHeight="1" x14ac:dyDescent="0.25">
      <c r="A60" s="14">
        <v>58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spans="1:18" ht="21.75" customHeight="1" x14ac:dyDescent="0.25">
      <c r="A61" s="12">
        <v>59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 ht="21.75" customHeight="1" x14ac:dyDescent="0.25">
      <c r="A62" s="14">
        <v>60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spans="1:18" ht="21.75" customHeight="1" x14ac:dyDescent="0.25">
      <c r="A63" s="12">
        <v>61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spans="1:18" ht="21.75" customHeight="1" x14ac:dyDescent="0.25">
      <c r="A64" s="14">
        <v>62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 spans="1:18" ht="21.75" customHeight="1" x14ac:dyDescent="0.25">
      <c r="A65" s="12">
        <v>63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1:18" ht="21.75" customHeight="1" x14ac:dyDescent="0.25">
      <c r="A66" s="14">
        <v>64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spans="1:18" ht="21.75" customHeight="1" x14ac:dyDescent="0.25">
      <c r="A67" s="12">
        <v>65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 ht="21.75" customHeight="1" x14ac:dyDescent="0.25">
      <c r="A68" s="14">
        <v>66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spans="1:18" ht="21.75" customHeight="1" x14ac:dyDescent="0.25">
      <c r="A69" s="12">
        <v>67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ht="21.75" customHeight="1" x14ac:dyDescent="0.25">
      <c r="A70" s="14">
        <v>68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 spans="1:18" ht="21.75" customHeight="1" x14ac:dyDescent="0.25">
      <c r="A71" s="12">
        <v>69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1:18" ht="21.75" customHeight="1" x14ac:dyDescent="0.25">
      <c r="A72" s="14">
        <v>70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spans="1:18" ht="21.75" customHeight="1" x14ac:dyDescent="0.25">
      <c r="A73" s="12">
        <v>71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spans="1:18" ht="21.75" customHeight="1" x14ac:dyDescent="0.25">
      <c r="A74" s="14">
        <v>72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spans="1:18" ht="21.75" customHeight="1" x14ac:dyDescent="0.25">
      <c r="A75" s="12">
        <v>73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1:18" ht="21.75" customHeight="1" x14ac:dyDescent="0.25">
      <c r="A76" s="14">
        <v>74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1:18" ht="21.75" customHeight="1" x14ac:dyDescent="0.25">
      <c r="A77" s="12">
        <v>75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8" ht="21.75" customHeight="1" x14ac:dyDescent="0.25">
      <c r="A78" s="14">
        <v>76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1:18" ht="21.75" customHeight="1" x14ac:dyDescent="0.25">
      <c r="A79" s="12">
        <v>77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1:18" ht="21.75" customHeight="1" x14ac:dyDescent="0.25">
      <c r="A80" s="14">
        <v>78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1:18" ht="21.75" customHeight="1" x14ac:dyDescent="0.25">
      <c r="A81" s="12">
        <v>79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1:18" ht="21.75" customHeight="1" x14ac:dyDescent="0.25">
      <c r="A82" s="14">
        <v>80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1:18" ht="21.75" customHeight="1" x14ac:dyDescent="0.25">
      <c r="A83" s="12">
        <v>81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1:18" ht="21.75" customHeight="1" x14ac:dyDescent="0.25">
      <c r="A84" s="14">
        <v>82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1:18" ht="21.75" customHeight="1" x14ac:dyDescent="0.25">
      <c r="A85" s="12">
        <v>83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1:18" ht="21.75" customHeight="1" x14ac:dyDescent="0.25">
      <c r="A86" s="14">
        <v>84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spans="1:18" ht="21.75" customHeight="1" x14ac:dyDescent="0.25">
      <c r="A87" s="12">
        <v>85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1:18" ht="21.75" customHeight="1" x14ac:dyDescent="0.25">
      <c r="A88" s="14">
        <v>86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spans="1:18" ht="21.75" customHeight="1" x14ac:dyDescent="0.25">
      <c r="A89" s="12">
        <v>87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1:18" ht="21.75" customHeight="1" x14ac:dyDescent="0.25">
      <c r="A90" s="14">
        <v>88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1:18" ht="21.75" customHeight="1" x14ac:dyDescent="0.25">
      <c r="A91" s="12">
        <v>89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1:18" ht="21.75" customHeight="1" x14ac:dyDescent="0.25">
      <c r="A92" s="14">
        <v>90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spans="1:18" ht="21.75" customHeight="1" x14ac:dyDescent="0.25">
      <c r="A93" s="12">
        <v>91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1:18" ht="21.75" customHeight="1" x14ac:dyDescent="0.25">
      <c r="A94" s="14">
        <v>92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spans="1:18" ht="21.75" customHeight="1" x14ac:dyDescent="0.25">
      <c r="A95" s="12">
        <v>93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1:18" ht="21.75" customHeight="1" x14ac:dyDescent="0.25">
      <c r="A96" s="14">
        <v>94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spans="1:18" ht="21.75" customHeight="1" x14ac:dyDescent="0.25">
      <c r="A97" s="12">
        <v>95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1:18" ht="21.75" customHeight="1" x14ac:dyDescent="0.25">
      <c r="A98" s="14">
        <v>96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spans="1:18" ht="21.75" customHeight="1" x14ac:dyDescent="0.25">
      <c r="A99" s="12">
        <v>97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1:18" ht="21.75" customHeight="1" x14ac:dyDescent="0.25">
      <c r="A100" s="14">
        <v>98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spans="1:18" ht="21.75" customHeight="1" x14ac:dyDescent="0.25">
      <c r="A101" s="12">
        <v>99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1:18" ht="21.75" customHeight="1" x14ac:dyDescent="0.25">
      <c r="A102" s="14">
        <v>100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spans="1:18" ht="21.75" customHeight="1" x14ac:dyDescent="0.25">
      <c r="A103" s="12">
        <v>101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1:18" ht="21.75" customHeight="1" x14ac:dyDescent="0.25">
      <c r="A104" s="14">
        <v>102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 spans="1:18" ht="21.75" customHeight="1" x14ac:dyDescent="0.25">
      <c r="A105" s="12">
        <v>103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1:18" ht="21.75" customHeight="1" x14ac:dyDescent="0.25">
      <c r="A106" s="14">
        <v>104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spans="1:18" ht="21.75" customHeight="1" x14ac:dyDescent="0.25">
      <c r="A107" s="12">
        <v>105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1:18" ht="21.75" customHeight="1" x14ac:dyDescent="0.25">
      <c r="A108" s="14">
        <v>106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 spans="1:18" ht="21.75" customHeight="1" x14ac:dyDescent="0.25">
      <c r="A109" s="12">
        <v>107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1:18" ht="21.75" customHeight="1" x14ac:dyDescent="0.25">
      <c r="A110" s="14">
        <v>108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 spans="1:18" ht="21.75" customHeight="1" x14ac:dyDescent="0.25">
      <c r="A111" s="12">
        <v>109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ht="21.75" customHeight="1" x14ac:dyDescent="0.25">
      <c r="A112" s="14">
        <v>110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spans="1:18" ht="21.75" customHeight="1" x14ac:dyDescent="0.25">
      <c r="A113" s="12">
        <v>111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ht="21.75" customHeight="1" x14ac:dyDescent="0.25">
      <c r="A114" s="14">
        <v>112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 spans="1:18" ht="21.75" customHeight="1" x14ac:dyDescent="0.25">
      <c r="A115" s="12">
        <v>113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ht="21.75" customHeight="1" x14ac:dyDescent="0.25">
      <c r="A116" s="14">
        <v>114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 spans="1:18" ht="21.75" customHeight="1" x14ac:dyDescent="0.25">
      <c r="A117" s="12">
        <v>115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ht="21.75" customHeight="1" x14ac:dyDescent="0.25">
      <c r="A118" s="14">
        <v>116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 spans="1:18" ht="21.75" customHeight="1" x14ac:dyDescent="0.25">
      <c r="A119" s="12">
        <v>117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ht="21.75" customHeight="1" x14ac:dyDescent="0.25">
      <c r="A120" s="14">
        <v>118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1:18" ht="21.75" customHeight="1" x14ac:dyDescent="0.25">
      <c r="A121" s="12">
        <v>119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ht="21.75" customHeight="1" x14ac:dyDescent="0.25">
      <c r="A122" s="14">
        <v>120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1:18" ht="21.75" customHeight="1" x14ac:dyDescent="0.25">
      <c r="A123" s="12">
        <v>121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ht="21.75" customHeight="1" x14ac:dyDescent="0.25">
      <c r="A124" s="14">
        <v>122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1:18" ht="21.75" customHeight="1" x14ac:dyDescent="0.25">
      <c r="A125" s="12">
        <v>123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ht="21.75" customHeight="1" x14ac:dyDescent="0.25">
      <c r="A126" s="14">
        <v>124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1:18" ht="21.75" customHeight="1" x14ac:dyDescent="0.25">
      <c r="A127" s="12">
        <v>125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ht="21.75" customHeight="1" x14ac:dyDescent="0.25">
      <c r="A128" s="14">
        <v>126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 spans="1:18" ht="21.75" customHeight="1" x14ac:dyDescent="0.25">
      <c r="A129" s="12">
        <v>127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ht="21.75" customHeight="1" x14ac:dyDescent="0.25">
      <c r="A130" s="14">
        <v>128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spans="1:18" ht="21.75" customHeight="1" x14ac:dyDescent="0.25">
      <c r="A131" s="12">
        <v>129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ht="21.75" customHeight="1" x14ac:dyDescent="0.25">
      <c r="A132" s="14">
        <v>130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spans="1:18" ht="21.75" customHeight="1" x14ac:dyDescent="0.25">
      <c r="A133" s="12">
        <v>131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ht="21.75" customHeight="1" x14ac:dyDescent="0.25">
      <c r="A134" s="14">
        <v>132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spans="1:18" ht="21.75" customHeight="1" x14ac:dyDescent="0.25">
      <c r="A135" s="12">
        <v>133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ht="21.75" customHeight="1" x14ac:dyDescent="0.25">
      <c r="A136" s="14">
        <v>134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 spans="1:18" ht="21.75" customHeight="1" x14ac:dyDescent="0.25">
      <c r="A137" s="12">
        <v>135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ht="21.75" customHeight="1" x14ac:dyDescent="0.25">
      <c r="A138" s="14">
        <v>136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 spans="1:18" ht="21.75" customHeight="1" x14ac:dyDescent="0.25">
      <c r="A139" s="12">
        <v>137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ht="21.75" customHeight="1" x14ac:dyDescent="0.25">
      <c r="A140" s="14">
        <v>138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 spans="1:18" ht="21.75" customHeight="1" x14ac:dyDescent="0.25">
      <c r="A141" s="12">
        <v>139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ht="21.75" customHeight="1" x14ac:dyDescent="0.25">
      <c r="A142" s="14">
        <v>140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spans="1:18" ht="21.75" customHeight="1" x14ac:dyDescent="0.25">
      <c r="A143" s="12">
        <v>141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ht="21.75" customHeight="1" x14ac:dyDescent="0.25">
      <c r="A144" s="14">
        <v>142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 spans="1:18" ht="21.75" customHeight="1" x14ac:dyDescent="0.25">
      <c r="A145" s="12">
        <v>143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ht="21.75" customHeight="1" x14ac:dyDescent="0.25">
      <c r="A146" s="14">
        <v>144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 spans="1:18" ht="21.75" customHeight="1" x14ac:dyDescent="0.25">
      <c r="A147" s="12">
        <v>145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ht="21.75" customHeight="1" x14ac:dyDescent="0.25">
      <c r="A148" s="14">
        <v>146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 spans="1:18" ht="21.75" customHeight="1" x14ac:dyDescent="0.25">
      <c r="A149" s="12">
        <v>147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ht="21.75" customHeight="1" x14ac:dyDescent="0.25">
      <c r="A150" s="14">
        <v>148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 spans="1:18" ht="21.75" customHeight="1" x14ac:dyDescent="0.25">
      <c r="A151" s="12">
        <v>149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ht="21.75" customHeight="1" x14ac:dyDescent="0.25">
      <c r="A152" s="14">
        <v>150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 spans="1:18" ht="21.75" customHeight="1" x14ac:dyDescent="0.25">
      <c r="A153" s="12">
        <v>151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ht="21.75" customHeight="1" x14ac:dyDescent="0.25">
      <c r="A154" s="14">
        <v>152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 spans="1:18" ht="21.75" customHeight="1" x14ac:dyDescent="0.25">
      <c r="A155" s="12">
        <v>153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ht="21.75" customHeight="1" x14ac:dyDescent="0.25">
      <c r="A156" s="14">
        <v>154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 spans="1:18" ht="21.75" customHeight="1" x14ac:dyDescent="0.25">
      <c r="A157" s="12">
        <v>155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ht="21.75" customHeight="1" x14ac:dyDescent="0.25">
      <c r="A158" s="14">
        <v>156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 spans="1:18" ht="21.75" customHeight="1" x14ac:dyDescent="0.25">
      <c r="A159" s="12">
        <v>157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ht="21.75" customHeight="1" x14ac:dyDescent="0.25">
      <c r="A160" s="14">
        <v>158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 spans="1:18" ht="21.75" customHeight="1" x14ac:dyDescent="0.25">
      <c r="A161" s="12">
        <v>159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ht="21.75" customHeight="1" x14ac:dyDescent="0.25">
      <c r="A162" s="14">
        <v>160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 spans="1:18" ht="21.75" customHeight="1" x14ac:dyDescent="0.25">
      <c r="A163" s="12">
        <v>161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ht="21.75" customHeight="1" x14ac:dyDescent="0.25">
      <c r="A164" s="14">
        <v>162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 spans="1:18" ht="21.75" customHeight="1" x14ac:dyDescent="0.25">
      <c r="A165" s="12">
        <v>163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ht="21.75" customHeight="1" x14ac:dyDescent="0.25">
      <c r="A166" s="14">
        <v>164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 spans="1:18" ht="21.75" customHeight="1" x14ac:dyDescent="0.25">
      <c r="A167" s="12">
        <v>165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ht="21.75" customHeight="1" x14ac:dyDescent="0.25">
      <c r="A168" s="14">
        <v>166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 spans="1:18" ht="21.75" customHeight="1" x14ac:dyDescent="0.25">
      <c r="A169" s="12">
        <v>167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ht="21.75" customHeight="1" x14ac:dyDescent="0.25">
      <c r="A170" s="14">
        <v>168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 spans="1:18" ht="21.75" customHeight="1" x14ac:dyDescent="0.25">
      <c r="A171" s="12">
        <v>169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ht="21.75" customHeight="1" x14ac:dyDescent="0.25">
      <c r="A172" s="14">
        <v>170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 spans="1:18" ht="21.75" customHeight="1" x14ac:dyDescent="0.25">
      <c r="A173" s="12">
        <v>171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ht="21.75" customHeight="1" x14ac:dyDescent="0.25">
      <c r="A174" s="14">
        <v>172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 spans="1:18" ht="21.75" customHeight="1" x14ac:dyDescent="0.25">
      <c r="A175" s="12">
        <v>173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ht="21.75" customHeight="1" x14ac:dyDescent="0.25">
      <c r="A176" s="14">
        <v>174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 spans="1:18" ht="21.75" customHeight="1" x14ac:dyDescent="0.25">
      <c r="A177" s="12">
        <v>175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ht="21.75" customHeight="1" x14ac:dyDescent="0.25">
      <c r="A178" s="14">
        <v>176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 spans="1:18" ht="21.75" customHeight="1" x14ac:dyDescent="0.25">
      <c r="A179" s="12">
        <v>177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ht="21.75" customHeight="1" x14ac:dyDescent="0.25">
      <c r="A180" s="14">
        <v>178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 spans="1:18" ht="21.75" customHeight="1" x14ac:dyDescent="0.25">
      <c r="A181" s="12">
        <v>179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ht="21.75" customHeight="1" x14ac:dyDescent="0.25">
      <c r="A182" s="14">
        <v>180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</row>
    <row r="183" spans="1:18" ht="21.75" customHeight="1" x14ac:dyDescent="0.25">
      <c r="A183" s="12">
        <v>181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ht="21.75" customHeight="1" x14ac:dyDescent="0.25">
      <c r="A184" s="14">
        <v>182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</row>
    <row r="185" spans="1:18" ht="21.75" customHeight="1" x14ac:dyDescent="0.25">
      <c r="A185" s="12">
        <v>183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ht="21.75" customHeight="1" x14ac:dyDescent="0.25">
      <c r="A186" s="14">
        <v>184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</row>
    <row r="187" spans="1:18" ht="21.75" customHeight="1" x14ac:dyDescent="0.25">
      <c r="A187" s="12">
        <v>185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ht="21.75" customHeight="1" x14ac:dyDescent="0.25">
      <c r="A188" s="14">
        <v>186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</row>
    <row r="189" spans="1:18" ht="21.75" customHeight="1" x14ac:dyDescent="0.25">
      <c r="A189" s="12">
        <v>187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ht="21.75" customHeight="1" x14ac:dyDescent="0.25">
      <c r="A190" s="14">
        <v>188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</row>
    <row r="191" spans="1:18" ht="21.75" customHeight="1" x14ac:dyDescent="0.25">
      <c r="A191" s="12">
        <v>189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ht="21.75" customHeight="1" x14ac:dyDescent="0.25">
      <c r="A192" s="14">
        <v>190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</row>
    <row r="193" spans="1:18" ht="21.75" customHeight="1" x14ac:dyDescent="0.25">
      <c r="A193" s="12">
        <v>191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ht="21.75" customHeight="1" x14ac:dyDescent="0.25">
      <c r="A194" s="14">
        <v>192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</row>
    <row r="195" spans="1:18" ht="21.75" customHeight="1" x14ac:dyDescent="0.25">
      <c r="A195" s="12">
        <v>193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ht="21.75" customHeight="1" x14ac:dyDescent="0.25">
      <c r="A196" s="14">
        <v>194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</row>
    <row r="197" spans="1:18" ht="21.75" customHeight="1" x14ac:dyDescent="0.25">
      <c r="A197" s="12">
        <v>195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ht="21.75" customHeight="1" x14ac:dyDescent="0.25">
      <c r="A198" s="14">
        <v>196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</row>
    <row r="199" spans="1:18" ht="21.75" customHeight="1" x14ac:dyDescent="0.25">
      <c r="A199" s="12">
        <v>197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ht="21.75" customHeight="1" x14ac:dyDescent="0.25">
      <c r="A200" s="14">
        <v>198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</row>
    <row r="201" spans="1:18" ht="21.75" customHeight="1" x14ac:dyDescent="0.25">
      <c r="A201" s="12">
        <v>199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ht="21.75" customHeight="1" x14ac:dyDescent="0.25">
      <c r="A202" s="14">
        <v>200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</row>
    <row r="203" spans="1:18" ht="21.75" customHeight="1" x14ac:dyDescent="0.25">
      <c r="A203" s="12">
        <v>201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ht="21.75" customHeight="1" x14ac:dyDescent="0.25">
      <c r="A204" s="14">
        <v>202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</row>
    <row r="205" spans="1:18" ht="21.75" customHeight="1" x14ac:dyDescent="0.25">
      <c r="A205" s="12">
        <v>203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ht="21.75" customHeight="1" x14ac:dyDescent="0.25">
      <c r="A206" s="14">
        <v>204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</row>
    <row r="207" spans="1:18" ht="21.75" customHeight="1" x14ac:dyDescent="0.25">
      <c r="A207" s="12">
        <v>205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ht="21.75" customHeight="1" x14ac:dyDescent="0.25">
      <c r="A208" s="14">
        <v>206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</row>
    <row r="209" spans="1:18" ht="21.75" customHeight="1" x14ac:dyDescent="0.25">
      <c r="A209" s="12">
        <v>207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ht="21.75" customHeight="1" x14ac:dyDescent="0.25">
      <c r="A210" s="14">
        <v>208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</row>
    <row r="211" spans="1:18" ht="21.75" customHeight="1" x14ac:dyDescent="0.25">
      <c r="A211" s="12">
        <v>209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ht="21.75" customHeight="1" x14ac:dyDescent="0.25">
      <c r="A212" s="14">
        <v>210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</row>
    <row r="213" spans="1:18" ht="21.75" customHeight="1" x14ac:dyDescent="0.25">
      <c r="A213" s="12">
        <v>211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ht="21.75" customHeight="1" x14ac:dyDescent="0.25">
      <c r="A214" s="14">
        <v>212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</row>
    <row r="215" spans="1:18" ht="21.75" customHeight="1" x14ac:dyDescent="0.25">
      <c r="A215" s="12">
        <v>213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ht="21.75" customHeight="1" x14ac:dyDescent="0.25">
      <c r="A216" s="14">
        <v>214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</row>
    <row r="217" spans="1:18" ht="21.75" customHeight="1" x14ac:dyDescent="0.25">
      <c r="A217" s="12">
        <v>215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ht="21.75" customHeight="1" x14ac:dyDescent="0.25">
      <c r="A218" s="14">
        <v>216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</row>
    <row r="219" spans="1:18" ht="21.75" customHeight="1" x14ac:dyDescent="0.25">
      <c r="A219" s="12">
        <v>217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ht="21.75" customHeight="1" x14ac:dyDescent="0.25">
      <c r="A220" s="14">
        <v>218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</row>
    <row r="221" spans="1:18" ht="21.75" customHeight="1" x14ac:dyDescent="0.25">
      <c r="A221" s="12">
        <v>219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ht="21.75" customHeight="1" x14ac:dyDescent="0.25">
      <c r="A222" s="14">
        <v>220</v>
      </c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</row>
    <row r="223" spans="1:18" ht="21.75" customHeight="1" x14ac:dyDescent="0.25">
      <c r="A223" s="12">
        <v>221</v>
      </c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ht="21.75" customHeight="1" x14ac:dyDescent="0.25">
      <c r="A224" s="14">
        <v>222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</row>
    <row r="225" spans="1:18" ht="21.75" customHeight="1" x14ac:dyDescent="0.25">
      <c r="A225" s="12">
        <v>223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ht="21.75" customHeight="1" x14ac:dyDescent="0.25">
      <c r="A226" s="14">
        <v>224</v>
      </c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</row>
    <row r="227" spans="1:18" ht="21.75" customHeight="1" x14ac:dyDescent="0.25">
      <c r="A227" s="12">
        <v>225</v>
      </c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ht="21.75" customHeight="1" x14ac:dyDescent="0.25">
      <c r="A228" s="14">
        <v>226</v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</row>
    <row r="229" spans="1:18" ht="21.75" customHeight="1" x14ac:dyDescent="0.25">
      <c r="A229" s="12">
        <v>227</v>
      </c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ht="21.75" customHeight="1" x14ac:dyDescent="0.25">
      <c r="A230" s="14">
        <v>228</v>
      </c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</row>
    <row r="231" spans="1:18" ht="21.75" customHeight="1" x14ac:dyDescent="0.25">
      <c r="A231" s="12">
        <v>229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ht="21.75" customHeight="1" x14ac:dyDescent="0.25">
      <c r="A232" s="14">
        <v>230</v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</row>
    <row r="233" spans="1:18" ht="21.75" customHeight="1" x14ac:dyDescent="0.25">
      <c r="A233" s="12">
        <v>231</v>
      </c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ht="21.75" customHeight="1" x14ac:dyDescent="0.25">
      <c r="A234" s="14">
        <v>232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</row>
    <row r="235" spans="1:18" ht="21.75" customHeight="1" x14ac:dyDescent="0.25">
      <c r="A235" s="12">
        <v>233</v>
      </c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ht="21.75" customHeight="1" x14ac:dyDescent="0.25">
      <c r="A236" s="14">
        <v>234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</row>
    <row r="237" spans="1:18" ht="21.75" customHeight="1" x14ac:dyDescent="0.25">
      <c r="A237" s="12">
        <v>235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ht="21.75" customHeight="1" x14ac:dyDescent="0.25">
      <c r="A238" s="14">
        <v>236</v>
      </c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</row>
    <row r="239" spans="1:18" ht="21.75" customHeight="1" x14ac:dyDescent="0.25">
      <c r="A239" s="12">
        <v>237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ht="21.75" customHeight="1" x14ac:dyDescent="0.25">
      <c r="A240" s="14">
        <v>238</v>
      </c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</row>
    <row r="241" spans="1:18" ht="21.75" customHeight="1" x14ac:dyDescent="0.25">
      <c r="A241" s="12">
        <v>239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ht="21.75" customHeight="1" x14ac:dyDescent="0.25">
      <c r="A242" s="14">
        <v>240</v>
      </c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</row>
    <row r="243" spans="1:18" ht="21.75" customHeight="1" x14ac:dyDescent="0.25">
      <c r="A243" s="12">
        <v>241</v>
      </c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ht="21.75" customHeight="1" x14ac:dyDescent="0.25">
      <c r="A244" s="14">
        <v>242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</row>
    <row r="245" spans="1:18" ht="21.75" customHeight="1" x14ac:dyDescent="0.25">
      <c r="A245" s="12">
        <v>243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ht="21.75" customHeight="1" x14ac:dyDescent="0.25">
      <c r="A246" s="14">
        <v>244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</row>
    <row r="247" spans="1:18" ht="21.75" customHeight="1" x14ac:dyDescent="0.25">
      <c r="A247" s="12">
        <v>245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ht="21.75" customHeight="1" x14ac:dyDescent="0.25">
      <c r="A248" s="14">
        <v>246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</row>
    <row r="249" spans="1:18" ht="21.75" customHeight="1" x14ac:dyDescent="0.25">
      <c r="A249" s="12">
        <v>247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ht="21.75" customHeight="1" x14ac:dyDescent="0.25">
      <c r="A250" s="14">
        <v>248</v>
      </c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</row>
    <row r="251" spans="1:18" ht="21.75" customHeight="1" x14ac:dyDescent="0.25">
      <c r="A251" s="12">
        <v>249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ht="21.75" customHeight="1" x14ac:dyDescent="0.25">
      <c r="A252" s="14">
        <v>250</v>
      </c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</row>
    <row r="253" spans="1:18" ht="21.75" customHeight="1" x14ac:dyDescent="0.25">
      <c r="A253" s="12">
        <v>251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ht="21.75" customHeight="1" x14ac:dyDescent="0.25">
      <c r="A254" s="14">
        <v>252</v>
      </c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</row>
    <row r="255" spans="1:18" ht="21.75" customHeight="1" x14ac:dyDescent="0.25">
      <c r="A255" s="12">
        <v>253</v>
      </c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ht="21.75" customHeight="1" x14ac:dyDescent="0.25">
      <c r="A256" s="14">
        <v>254</v>
      </c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</row>
    <row r="257" spans="1:18" ht="21.75" customHeight="1" x14ac:dyDescent="0.25">
      <c r="A257" s="12">
        <v>255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ht="21.75" customHeight="1" x14ac:dyDescent="0.25">
      <c r="A258" s="14">
        <v>256</v>
      </c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</row>
    <row r="259" spans="1:18" ht="21.75" customHeight="1" x14ac:dyDescent="0.25">
      <c r="A259" s="12">
        <v>257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ht="21.75" customHeight="1" x14ac:dyDescent="0.25">
      <c r="A260" s="14">
        <v>258</v>
      </c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</row>
    <row r="261" spans="1:18" ht="21.75" customHeight="1" x14ac:dyDescent="0.25">
      <c r="A261" s="12">
        <v>259</v>
      </c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ht="21.75" customHeight="1" x14ac:dyDescent="0.25">
      <c r="A262" s="14">
        <v>260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</row>
    <row r="263" spans="1:18" ht="21.75" customHeight="1" x14ac:dyDescent="0.25">
      <c r="A263" s="12">
        <v>261</v>
      </c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ht="21.75" customHeight="1" x14ac:dyDescent="0.25">
      <c r="A264" s="14">
        <v>262</v>
      </c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</row>
    <row r="265" spans="1:18" ht="21.75" customHeight="1" x14ac:dyDescent="0.25">
      <c r="A265" s="12">
        <v>263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ht="21.75" customHeight="1" x14ac:dyDescent="0.25">
      <c r="A266" s="14">
        <v>264</v>
      </c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</row>
    <row r="267" spans="1:18" ht="21.75" customHeight="1" x14ac:dyDescent="0.25">
      <c r="A267" s="12">
        <v>265</v>
      </c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ht="21.75" customHeight="1" x14ac:dyDescent="0.25">
      <c r="A268" s="14">
        <v>266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</row>
    <row r="269" spans="1:18" ht="21.75" customHeight="1" x14ac:dyDescent="0.25">
      <c r="A269" s="12">
        <v>267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ht="21.75" customHeight="1" x14ac:dyDescent="0.25">
      <c r="A270" s="14">
        <v>268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</row>
    <row r="271" spans="1:18" ht="21.75" customHeight="1" x14ac:dyDescent="0.25">
      <c r="A271" s="12">
        <v>269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ht="21.75" customHeight="1" x14ac:dyDescent="0.25">
      <c r="A272" s="14">
        <v>270</v>
      </c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 spans="1:18" ht="21.75" customHeight="1" x14ac:dyDescent="0.25">
      <c r="A273" s="12">
        <v>271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ht="21.75" customHeight="1" x14ac:dyDescent="0.25">
      <c r="A274" s="14">
        <v>272</v>
      </c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</row>
    <row r="275" spans="1:18" ht="21.75" customHeight="1" x14ac:dyDescent="0.25">
      <c r="A275" s="12">
        <v>273</v>
      </c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ht="21.75" customHeight="1" x14ac:dyDescent="0.25">
      <c r="A276" s="14">
        <v>274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</row>
    <row r="277" spans="1:18" ht="21.75" customHeight="1" x14ac:dyDescent="0.25">
      <c r="A277" s="12">
        <v>275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ht="21.75" customHeight="1" x14ac:dyDescent="0.25">
      <c r="A278" s="14">
        <v>276</v>
      </c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 spans="1:18" ht="21.75" customHeight="1" x14ac:dyDescent="0.25">
      <c r="A279" s="12">
        <v>277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ht="21.75" customHeight="1" x14ac:dyDescent="0.25">
      <c r="A280" s="14">
        <v>278</v>
      </c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</row>
    <row r="281" spans="1:18" ht="21.75" customHeight="1" x14ac:dyDescent="0.25">
      <c r="A281" s="12">
        <v>279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ht="21.75" customHeight="1" x14ac:dyDescent="0.25">
      <c r="A282" s="14">
        <v>280</v>
      </c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</row>
    <row r="283" spans="1:18" ht="21.75" customHeight="1" x14ac:dyDescent="0.25">
      <c r="A283" s="12">
        <v>281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ht="21.75" customHeight="1" x14ac:dyDescent="0.25">
      <c r="A284" s="14">
        <v>282</v>
      </c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</row>
    <row r="285" spans="1:18" ht="21.75" customHeight="1" x14ac:dyDescent="0.25">
      <c r="A285" s="12">
        <v>283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ht="21.75" customHeight="1" x14ac:dyDescent="0.25">
      <c r="A286" s="14">
        <v>284</v>
      </c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</row>
    <row r="287" spans="1:18" ht="21.75" customHeight="1" x14ac:dyDescent="0.25">
      <c r="A287" s="12">
        <v>285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ht="21.75" customHeight="1" x14ac:dyDescent="0.25">
      <c r="A288" s="14">
        <v>286</v>
      </c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</row>
    <row r="289" spans="1:18" ht="21.75" customHeight="1" x14ac:dyDescent="0.25">
      <c r="A289" s="12">
        <v>287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ht="21.75" customHeight="1" x14ac:dyDescent="0.25">
      <c r="A290" s="14">
        <v>288</v>
      </c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</row>
    <row r="291" spans="1:18" ht="21.75" customHeight="1" x14ac:dyDescent="0.25">
      <c r="A291" s="12">
        <v>289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ht="21.75" customHeight="1" x14ac:dyDescent="0.25">
      <c r="A292" s="14">
        <v>290</v>
      </c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</row>
    <row r="293" spans="1:18" ht="21.75" customHeight="1" x14ac:dyDescent="0.25">
      <c r="A293" s="12">
        <v>291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ht="21.75" customHeight="1" x14ac:dyDescent="0.25">
      <c r="A294" s="14">
        <v>292</v>
      </c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</row>
    <row r="295" spans="1:18" ht="21.75" customHeight="1" x14ac:dyDescent="0.25">
      <c r="A295" s="12">
        <v>293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ht="21.75" customHeight="1" x14ac:dyDescent="0.25">
      <c r="A296" s="14">
        <v>294</v>
      </c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</row>
    <row r="297" spans="1:18" ht="21.75" customHeight="1" x14ac:dyDescent="0.25">
      <c r="A297" s="12">
        <v>295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ht="21.75" customHeight="1" x14ac:dyDescent="0.25">
      <c r="A298" s="14">
        <v>296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</row>
    <row r="299" spans="1:18" ht="21.75" customHeight="1" x14ac:dyDescent="0.25">
      <c r="A299" s="12">
        <v>297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ht="21.75" customHeight="1" x14ac:dyDescent="0.25">
      <c r="A300" s="14">
        <v>298</v>
      </c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</row>
    <row r="301" spans="1:18" ht="21.75" customHeight="1" x14ac:dyDescent="0.25">
      <c r="A301" s="12">
        <v>299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ht="21.75" customHeight="1" x14ac:dyDescent="0.25">
      <c r="A302" s="14">
        <v>300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</row>
    <row r="303" spans="1:18" ht="21.75" customHeight="1" x14ac:dyDescent="0.25">
      <c r="A303" s="12">
        <v>301</v>
      </c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ht="21.75" customHeight="1" x14ac:dyDescent="0.25">
      <c r="A304" s="14">
        <v>302</v>
      </c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</row>
    <row r="305" spans="1:18" ht="21.75" customHeight="1" x14ac:dyDescent="0.25">
      <c r="A305" s="12">
        <v>303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ht="21.75" customHeight="1" x14ac:dyDescent="0.25">
      <c r="A306" s="14">
        <v>304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</row>
    <row r="307" spans="1:18" ht="21.75" customHeight="1" x14ac:dyDescent="0.25">
      <c r="A307" s="12">
        <v>305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ht="21.75" customHeight="1" x14ac:dyDescent="0.25">
      <c r="A308" s="14">
        <v>306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</row>
    <row r="309" spans="1:18" ht="21.75" customHeight="1" x14ac:dyDescent="0.25">
      <c r="A309" s="12">
        <v>307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ht="21.75" customHeight="1" x14ac:dyDescent="0.25">
      <c r="A310" s="14">
        <v>308</v>
      </c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</row>
    <row r="311" spans="1:18" ht="21.75" customHeight="1" x14ac:dyDescent="0.25">
      <c r="A311" s="12">
        <v>309</v>
      </c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ht="21.75" customHeight="1" x14ac:dyDescent="0.25">
      <c r="A312" s="14">
        <v>310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</row>
    <row r="313" spans="1:18" ht="21.75" customHeight="1" x14ac:dyDescent="0.25">
      <c r="A313" s="12">
        <v>311</v>
      </c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ht="21.75" customHeight="1" x14ac:dyDescent="0.25">
      <c r="A314" s="14">
        <v>312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</row>
    <row r="315" spans="1:18" ht="21.75" customHeight="1" x14ac:dyDescent="0.25">
      <c r="A315" s="12">
        <v>313</v>
      </c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ht="21.75" customHeight="1" x14ac:dyDescent="0.25">
      <c r="A316" s="14">
        <v>314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</row>
    <row r="317" spans="1:18" ht="21.75" customHeight="1" x14ac:dyDescent="0.25">
      <c r="A317" s="12">
        <v>315</v>
      </c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ht="21.75" customHeight="1" x14ac:dyDescent="0.25">
      <c r="A318" s="14">
        <v>316</v>
      </c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</row>
    <row r="319" spans="1:18" ht="21.75" customHeight="1" x14ac:dyDescent="0.25">
      <c r="A319" s="12">
        <v>317</v>
      </c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ht="21.75" customHeight="1" x14ac:dyDescent="0.25">
      <c r="A320" s="14">
        <v>318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</row>
    <row r="321" spans="1:18" ht="21.75" customHeight="1" x14ac:dyDescent="0.25">
      <c r="A321" s="12">
        <v>319</v>
      </c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ht="21.75" customHeight="1" x14ac:dyDescent="0.25">
      <c r="A322" s="14">
        <v>320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</row>
    <row r="323" spans="1:18" ht="21.75" customHeight="1" x14ac:dyDescent="0.25">
      <c r="A323" s="12">
        <v>321</v>
      </c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ht="21.75" customHeight="1" x14ac:dyDescent="0.25">
      <c r="A324" s="14">
        <v>322</v>
      </c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</row>
    <row r="325" spans="1:18" ht="21.75" customHeight="1" x14ac:dyDescent="0.25">
      <c r="A325" s="12">
        <v>323</v>
      </c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ht="21.75" customHeight="1" x14ac:dyDescent="0.25">
      <c r="A326" s="14">
        <v>324</v>
      </c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</row>
    <row r="327" spans="1:18" ht="21.75" customHeight="1" x14ac:dyDescent="0.25">
      <c r="A327" s="12">
        <v>325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ht="21.75" customHeight="1" x14ac:dyDescent="0.25">
      <c r="A328" s="14">
        <v>326</v>
      </c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</row>
    <row r="329" spans="1:18" ht="21.75" customHeight="1" x14ac:dyDescent="0.25">
      <c r="A329" s="12">
        <v>327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ht="21.75" customHeight="1" x14ac:dyDescent="0.25">
      <c r="A330" s="14">
        <v>328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</row>
    <row r="331" spans="1:18" ht="21.75" customHeight="1" x14ac:dyDescent="0.25">
      <c r="A331" s="12">
        <v>329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ht="21.75" customHeight="1" x14ac:dyDescent="0.25">
      <c r="A332" s="14">
        <v>330</v>
      </c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</row>
    <row r="333" spans="1:18" ht="21.75" customHeight="1" x14ac:dyDescent="0.25">
      <c r="A333" s="12">
        <v>331</v>
      </c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ht="21.75" customHeight="1" x14ac:dyDescent="0.25">
      <c r="A334" s="14">
        <v>332</v>
      </c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</row>
    <row r="335" spans="1:18" ht="21.75" customHeight="1" x14ac:dyDescent="0.25">
      <c r="A335" s="12">
        <v>333</v>
      </c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ht="21.75" customHeight="1" x14ac:dyDescent="0.25">
      <c r="A336" s="14">
        <v>334</v>
      </c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</row>
    <row r="337" spans="1:18" ht="21.75" customHeight="1" x14ac:dyDescent="0.25">
      <c r="A337" s="12">
        <v>335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ht="21.75" customHeight="1" x14ac:dyDescent="0.25">
      <c r="A338" s="14">
        <v>336</v>
      </c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</row>
    <row r="339" spans="1:18" ht="21.75" customHeight="1" x14ac:dyDescent="0.25">
      <c r="A339" s="12">
        <v>337</v>
      </c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ht="21.75" customHeight="1" x14ac:dyDescent="0.25">
      <c r="A340" s="14">
        <v>338</v>
      </c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</row>
    <row r="341" spans="1:18" ht="21.75" customHeight="1" x14ac:dyDescent="0.25">
      <c r="A341" s="12">
        <v>339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ht="21.75" customHeight="1" x14ac:dyDescent="0.25">
      <c r="A342" s="14">
        <v>340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</row>
    <row r="343" spans="1:18" ht="21.75" customHeight="1" x14ac:dyDescent="0.25">
      <c r="A343" s="12">
        <v>341</v>
      </c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ht="21.75" customHeight="1" x14ac:dyDescent="0.25">
      <c r="A344" s="14">
        <v>342</v>
      </c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</row>
    <row r="345" spans="1:18" ht="21.75" customHeight="1" x14ac:dyDescent="0.25">
      <c r="A345" s="12">
        <v>343</v>
      </c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ht="21.75" customHeight="1" x14ac:dyDescent="0.25">
      <c r="A346" s="14">
        <v>344</v>
      </c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</row>
    <row r="347" spans="1:18" ht="21.75" customHeight="1" x14ac:dyDescent="0.25">
      <c r="A347" s="12">
        <v>345</v>
      </c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ht="21.75" customHeight="1" x14ac:dyDescent="0.25">
      <c r="A348" s="14">
        <v>346</v>
      </c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</row>
    <row r="349" spans="1:18" ht="21.75" customHeight="1" x14ac:dyDescent="0.25">
      <c r="A349" s="12">
        <v>347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ht="21.75" customHeight="1" x14ac:dyDescent="0.25">
      <c r="A350" s="14">
        <v>348</v>
      </c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</row>
    <row r="351" spans="1:18" ht="21.75" customHeight="1" x14ac:dyDescent="0.25">
      <c r="A351" s="12">
        <v>349</v>
      </c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ht="21.75" customHeight="1" x14ac:dyDescent="0.25">
      <c r="A352" s="14">
        <v>350</v>
      </c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</row>
    <row r="353" spans="1:18" ht="21.75" customHeight="1" x14ac:dyDescent="0.25">
      <c r="A353" s="12">
        <v>351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ht="21.75" customHeight="1" x14ac:dyDescent="0.25">
      <c r="A354" s="14">
        <v>352</v>
      </c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</row>
    <row r="355" spans="1:18" ht="21.75" customHeight="1" x14ac:dyDescent="0.25">
      <c r="A355" s="12">
        <v>353</v>
      </c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ht="21.75" customHeight="1" x14ac:dyDescent="0.25">
      <c r="A356" s="14">
        <v>354</v>
      </c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</row>
    <row r="357" spans="1:18" ht="21.75" customHeight="1" x14ac:dyDescent="0.25">
      <c r="A357" s="12">
        <v>355</v>
      </c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ht="21.75" customHeight="1" x14ac:dyDescent="0.25">
      <c r="A358" s="14">
        <v>356</v>
      </c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</row>
    <row r="359" spans="1:18" ht="21.75" customHeight="1" x14ac:dyDescent="0.25">
      <c r="A359" s="12">
        <v>357</v>
      </c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ht="21.75" customHeight="1" x14ac:dyDescent="0.25">
      <c r="A360" s="14">
        <v>358</v>
      </c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</row>
    <row r="361" spans="1:18" ht="21.75" customHeight="1" x14ac:dyDescent="0.25">
      <c r="A361" s="12">
        <v>359</v>
      </c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ht="21.75" customHeight="1" x14ac:dyDescent="0.25">
      <c r="A362" s="14">
        <v>360</v>
      </c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</row>
    <row r="363" spans="1:18" ht="21.75" customHeight="1" x14ac:dyDescent="0.25">
      <c r="A363" s="12">
        <v>361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ht="21.75" customHeight="1" x14ac:dyDescent="0.25">
      <c r="A364" s="14">
        <v>362</v>
      </c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</row>
    <row r="365" spans="1:18" ht="21.75" customHeight="1" x14ac:dyDescent="0.25">
      <c r="A365" s="12">
        <v>363</v>
      </c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ht="21.75" customHeight="1" x14ac:dyDescent="0.25">
      <c r="A366" s="14">
        <v>364</v>
      </c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</row>
    <row r="367" spans="1:18" ht="21.75" customHeight="1" x14ac:dyDescent="0.25">
      <c r="A367" s="12">
        <v>365</v>
      </c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ht="21.75" customHeight="1" x14ac:dyDescent="0.25">
      <c r="A368" s="14">
        <v>366</v>
      </c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</row>
    <row r="369" spans="1:18" ht="21.75" customHeight="1" x14ac:dyDescent="0.25">
      <c r="A369" s="12">
        <v>367</v>
      </c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ht="21.75" customHeight="1" x14ac:dyDescent="0.25">
      <c r="A370" s="14">
        <v>368</v>
      </c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</row>
    <row r="371" spans="1:18" ht="21.75" customHeight="1" x14ac:dyDescent="0.25">
      <c r="A371" s="12">
        <v>369</v>
      </c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ht="21.75" customHeight="1" x14ac:dyDescent="0.25">
      <c r="A372" s="14">
        <v>370</v>
      </c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</row>
    <row r="373" spans="1:18" ht="21.75" customHeight="1" x14ac:dyDescent="0.25">
      <c r="A373" s="12">
        <v>371</v>
      </c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ht="21.75" customHeight="1" x14ac:dyDescent="0.25">
      <c r="A374" s="14">
        <v>372</v>
      </c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</row>
    <row r="375" spans="1:18" ht="21.75" customHeight="1" x14ac:dyDescent="0.25">
      <c r="A375" s="12">
        <v>373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ht="21.75" customHeight="1" x14ac:dyDescent="0.25">
      <c r="A376" s="14">
        <v>374</v>
      </c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</row>
    <row r="377" spans="1:18" ht="21.75" customHeight="1" x14ac:dyDescent="0.25">
      <c r="A377" s="12">
        <v>375</v>
      </c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ht="21.75" customHeight="1" x14ac:dyDescent="0.25">
      <c r="A378" s="14">
        <v>376</v>
      </c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</row>
    <row r="379" spans="1:18" ht="21.75" customHeight="1" x14ac:dyDescent="0.25">
      <c r="A379" s="12">
        <v>377</v>
      </c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ht="21.75" customHeight="1" x14ac:dyDescent="0.25">
      <c r="A380" s="14">
        <v>378</v>
      </c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</row>
    <row r="381" spans="1:18" ht="21.75" customHeight="1" x14ac:dyDescent="0.25">
      <c r="A381" s="12">
        <v>379</v>
      </c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ht="21.75" customHeight="1" x14ac:dyDescent="0.25">
      <c r="A382" s="14">
        <v>380</v>
      </c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</row>
    <row r="383" spans="1:18" ht="21.75" customHeight="1" x14ac:dyDescent="0.25">
      <c r="A383" s="12">
        <v>381</v>
      </c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ht="21.75" customHeight="1" x14ac:dyDescent="0.25">
      <c r="A384" s="14">
        <v>382</v>
      </c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</row>
    <row r="385" spans="1:18" ht="21.75" customHeight="1" x14ac:dyDescent="0.25">
      <c r="A385" s="12">
        <v>383</v>
      </c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ht="21.75" customHeight="1" x14ac:dyDescent="0.25">
      <c r="A386" s="14">
        <v>384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</row>
    <row r="387" spans="1:18" ht="21.75" customHeight="1" x14ac:dyDescent="0.25">
      <c r="A387" s="12">
        <v>385</v>
      </c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ht="21.75" customHeight="1" x14ac:dyDescent="0.25">
      <c r="A388" s="14">
        <v>386</v>
      </c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</row>
    <row r="389" spans="1:18" ht="21.75" customHeight="1" x14ac:dyDescent="0.25">
      <c r="A389" s="12">
        <v>387</v>
      </c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ht="21.75" customHeight="1" x14ac:dyDescent="0.25">
      <c r="A390" s="14">
        <v>388</v>
      </c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</row>
    <row r="391" spans="1:18" ht="21.75" customHeight="1" x14ac:dyDescent="0.25">
      <c r="A391" s="12">
        <v>389</v>
      </c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ht="21.75" customHeight="1" x14ac:dyDescent="0.25">
      <c r="A392" s="14">
        <v>390</v>
      </c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</row>
    <row r="393" spans="1:18" ht="21.75" customHeight="1" x14ac:dyDescent="0.25">
      <c r="A393" s="12">
        <v>391</v>
      </c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ht="21.75" customHeight="1" x14ac:dyDescent="0.25">
      <c r="A394" s="14">
        <v>392</v>
      </c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</row>
    <row r="395" spans="1:18" ht="21.75" customHeight="1" x14ac:dyDescent="0.25">
      <c r="A395" s="12">
        <v>393</v>
      </c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ht="21.75" customHeight="1" x14ac:dyDescent="0.25">
      <c r="A396" s="14">
        <v>394</v>
      </c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</row>
    <row r="397" spans="1:18" ht="21.75" customHeight="1" x14ac:dyDescent="0.25">
      <c r="A397" s="12">
        <v>395</v>
      </c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ht="21.75" customHeight="1" x14ac:dyDescent="0.25">
      <c r="A398" s="14">
        <v>396</v>
      </c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</row>
    <row r="399" spans="1:18" ht="21.75" customHeight="1" x14ac:dyDescent="0.25">
      <c r="A399" s="12">
        <v>397</v>
      </c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ht="21.75" customHeight="1" x14ac:dyDescent="0.25">
      <c r="A400" s="14">
        <v>398</v>
      </c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</row>
    <row r="401" spans="1:18" ht="21.75" customHeight="1" x14ac:dyDescent="0.25">
      <c r="A401" s="12">
        <v>399</v>
      </c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ht="21.75" customHeight="1" x14ac:dyDescent="0.25">
      <c r="A402" s="14">
        <v>400</v>
      </c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</row>
    <row r="403" spans="1:18" ht="21.75" customHeight="1" x14ac:dyDescent="0.25">
      <c r="A403" s="12">
        <v>401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ht="21.75" customHeight="1" x14ac:dyDescent="0.25">
      <c r="A404" s="14">
        <v>402</v>
      </c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</row>
    <row r="405" spans="1:18" ht="21.75" customHeight="1" x14ac:dyDescent="0.25">
      <c r="A405" s="12">
        <v>403</v>
      </c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ht="21.75" customHeight="1" x14ac:dyDescent="0.25">
      <c r="A406" s="14">
        <v>404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</row>
    <row r="407" spans="1:18" ht="21.75" customHeight="1" x14ac:dyDescent="0.25">
      <c r="A407" s="12">
        <v>405</v>
      </c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ht="21.75" customHeight="1" x14ac:dyDescent="0.25">
      <c r="A408" s="14">
        <v>406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</row>
    <row r="409" spans="1:18" ht="21.75" customHeight="1" x14ac:dyDescent="0.25">
      <c r="A409" s="12">
        <v>407</v>
      </c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ht="21.75" customHeight="1" x14ac:dyDescent="0.25">
      <c r="A410" s="14">
        <v>408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</row>
    <row r="411" spans="1:18" ht="21.75" customHeight="1" x14ac:dyDescent="0.25">
      <c r="A411" s="12">
        <v>409</v>
      </c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ht="21.75" customHeight="1" x14ac:dyDescent="0.25">
      <c r="A412" s="14">
        <v>410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</row>
    <row r="413" spans="1:18" ht="21.75" customHeight="1" x14ac:dyDescent="0.25">
      <c r="A413" s="12">
        <v>411</v>
      </c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ht="21.75" customHeight="1" x14ac:dyDescent="0.25">
      <c r="A414" s="14">
        <v>412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</row>
    <row r="415" spans="1:18" ht="21.75" customHeight="1" x14ac:dyDescent="0.25">
      <c r="A415" s="12">
        <v>413</v>
      </c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ht="21.75" customHeight="1" x14ac:dyDescent="0.25">
      <c r="A416" s="14">
        <v>414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</row>
    <row r="417" spans="1:18" ht="21.75" customHeight="1" x14ac:dyDescent="0.25">
      <c r="A417" s="12">
        <v>415</v>
      </c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ht="21.75" customHeight="1" x14ac:dyDescent="0.25">
      <c r="A418" s="14">
        <v>416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</row>
    <row r="419" spans="1:18" ht="21.75" customHeight="1" x14ac:dyDescent="0.25">
      <c r="A419" s="12">
        <v>417</v>
      </c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ht="21.75" customHeight="1" x14ac:dyDescent="0.25">
      <c r="A420" s="14">
        <v>418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</row>
    <row r="421" spans="1:18" ht="21.75" customHeight="1" x14ac:dyDescent="0.25">
      <c r="A421" s="12">
        <v>419</v>
      </c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ht="21.75" customHeight="1" x14ac:dyDescent="0.25">
      <c r="A422" s="14">
        <v>420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</row>
    <row r="423" spans="1:18" ht="21.75" customHeight="1" x14ac:dyDescent="0.25">
      <c r="A423" s="12">
        <v>421</v>
      </c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ht="21.75" customHeight="1" x14ac:dyDescent="0.25">
      <c r="A424" s="14">
        <v>422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</row>
    <row r="425" spans="1:18" ht="21.75" customHeight="1" x14ac:dyDescent="0.25">
      <c r="A425" s="12">
        <v>423</v>
      </c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ht="21.75" customHeight="1" x14ac:dyDescent="0.25">
      <c r="A426" s="14">
        <v>424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</row>
    <row r="427" spans="1:18" ht="21.75" customHeight="1" x14ac:dyDescent="0.25">
      <c r="A427" s="12">
        <v>425</v>
      </c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ht="21.75" customHeight="1" x14ac:dyDescent="0.25">
      <c r="A428" s="14">
        <v>426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</row>
    <row r="429" spans="1:18" ht="21.75" customHeight="1" x14ac:dyDescent="0.25">
      <c r="A429" s="12">
        <v>427</v>
      </c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ht="21.75" customHeight="1" x14ac:dyDescent="0.25">
      <c r="A430" s="14">
        <v>428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</row>
    <row r="431" spans="1:18" ht="21.75" customHeight="1" x14ac:dyDescent="0.25">
      <c r="A431" s="12">
        <v>429</v>
      </c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ht="21.75" customHeight="1" x14ac:dyDescent="0.25">
      <c r="A432" s="14">
        <v>430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</row>
    <row r="433" spans="1:18" ht="21.75" customHeight="1" x14ac:dyDescent="0.25">
      <c r="A433" s="12">
        <v>431</v>
      </c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ht="21.75" customHeight="1" x14ac:dyDescent="0.25">
      <c r="A434" s="14">
        <v>432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</row>
    <row r="435" spans="1:18" ht="21.75" customHeight="1" x14ac:dyDescent="0.25">
      <c r="A435" s="12">
        <v>433</v>
      </c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ht="21.75" customHeight="1" x14ac:dyDescent="0.25">
      <c r="A436" s="14">
        <v>434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</row>
    <row r="437" spans="1:18" ht="21.75" customHeight="1" x14ac:dyDescent="0.25">
      <c r="A437" s="12">
        <v>435</v>
      </c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ht="21.75" customHeight="1" x14ac:dyDescent="0.25">
      <c r="A438" s="14">
        <v>436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</row>
    <row r="439" spans="1:18" ht="21.75" customHeight="1" x14ac:dyDescent="0.25">
      <c r="A439" s="12">
        <v>437</v>
      </c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ht="21.75" customHeight="1" x14ac:dyDescent="0.25">
      <c r="A440" s="14">
        <v>438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</row>
    <row r="441" spans="1:18" ht="21.75" customHeight="1" x14ac:dyDescent="0.25">
      <c r="A441" s="12">
        <v>439</v>
      </c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ht="21.75" customHeight="1" x14ac:dyDescent="0.25">
      <c r="A442" s="14">
        <v>440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</row>
    <row r="443" spans="1:18" ht="21.75" customHeight="1" x14ac:dyDescent="0.25">
      <c r="A443" s="12">
        <v>441</v>
      </c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ht="21.75" customHeight="1" x14ac:dyDescent="0.25">
      <c r="A444" s="14">
        <v>442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</row>
    <row r="445" spans="1:18" ht="21.75" customHeight="1" x14ac:dyDescent="0.25">
      <c r="A445" s="12">
        <v>443</v>
      </c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ht="21.75" customHeight="1" x14ac:dyDescent="0.25">
      <c r="A446" s="14">
        <v>444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</row>
    <row r="447" spans="1:18" ht="21.75" customHeight="1" x14ac:dyDescent="0.25">
      <c r="A447" s="12">
        <v>445</v>
      </c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ht="21.75" customHeight="1" x14ac:dyDescent="0.25">
      <c r="A448" s="14">
        <v>446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</row>
    <row r="449" spans="1:18" ht="21.75" customHeight="1" x14ac:dyDescent="0.25">
      <c r="A449" s="12">
        <v>447</v>
      </c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ht="21.75" customHeight="1" x14ac:dyDescent="0.25">
      <c r="A450" s="14">
        <v>448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</row>
    <row r="451" spans="1:18" ht="21.75" customHeight="1" x14ac:dyDescent="0.25">
      <c r="A451" s="12">
        <v>449</v>
      </c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ht="21.75" customHeight="1" x14ac:dyDescent="0.25">
      <c r="A452" s="14">
        <v>450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</row>
    <row r="453" spans="1:18" ht="21.75" customHeight="1" x14ac:dyDescent="0.25">
      <c r="A453" s="12">
        <v>451</v>
      </c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ht="21.75" customHeight="1" x14ac:dyDescent="0.25">
      <c r="A454" s="14">
        <v>452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</row>
    <row r="455" spans="1:18" ht="21.75" customHeight="1" x14ac:dyDescent="0.25">
      <c r="A455" s="12">
        <v>453</v>
      </c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ht="21.75" customHeight="1" x14ac:dyDescent="0.25">
      <c r="A456" s="14">
        <v>454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</row>
    <row r="457" spans="1:18" ht="21.75" customHeight="1" x14ac:dyDescent="0.25">
      <c r="A457" s="12">
        <v>455</v>
      </c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ht="21.75" customHeight="1" x14ac:dyDescent="0.25">
      <c r="A458" s="14">
        <v>456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</row>
    <row r="459" spans="1:18" ht="21.75" customHeight="1" x14ac:dyDescent="0.25">
      <c r="A459" s="12">
        <v>457</v>
      </c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ht="21.75" customHeight="1" x14ac:dyDescent="0.25">
      <c r="A460" s="14">
        <v>458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</row>
    <row r="461" spans="1:18" ht="21.75" customHeight="1" x14ac:dyDescent="0.25">
      <c r="A461" s="12">
        <v>459</v>
      </c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ht="21.75" customHeight="1" x14ac:dyDescent="0.25">
      <c r="A462" s="14">
        <v>460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</row>
    <row r="463" spans="1:18" ht="21.75" customHeight="1" x14ac:dyDescent="0.25">
      <c r="A463" s="12">
        <v>461</v>
      </c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ht="21.75" customHeight="1" x14ac:dyDescent="0.25">
      <c r="A464" s="14">
        <v>462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</row>
    <row r="465" spans="1:18" ht="21.75" customHeight="1" x14ac:dyDescent="0.25">
      <c r="A465" s="12">
        <v>463</v>
      </c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ht="21.75" customHeight="1" x14ac:dyDescent="0.25">
      <c r="A466" s="14">
        <v>464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</row>
    <row r="467" spans="1:18" ht="21.75" customHeight="1" x14ac:dyDescent="0.25">
      <c r="A467" s="12">
        <v>465</v>
      </c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ht="21.75" customHeight="1" x14ac:dyDescent="0.25">
      <c r="A468" s="14">
        <v>466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</row>
    <row r="469" spans="1:18" ht="21.75" customHeight="1" x14ac:dyDescent="0.25">
      <c r="A469" s="12">
        <v>467</v>
      </c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ht="21.75" customHeight="1" x14ac:dyDescent="0.25">
      <c r="A470" s="14">
        <v>468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</row>
    <row r="471" spans="1:18" ht="21.75" customHeight="1" x14ac:dyDescent="0.25">
      <c r="A471" s="12">
        <v>469</v>
      </c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ht="21.75" customHeight="1" x14ac:dyDescent="0.25">
      <c r="A472" s="14">
        <v>470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</row>
    <row r="473" spans="1:18" ht="21.75" customHeight="1" x14ac:dyDescent="0.25">
      <c r="A473" s="12">
        <v>471</v>
      </c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ht="21.75" customHeight="1" x14ac:dyDescent="0.25">
      <c r="A474" s="14">
        <v>472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</row>
    <row r="475" spans="1:18" ht="21.75" customHeight="1" x14ac:dyDescent="0.25">
      <c r="A475" s="12">
        <v>473</v>
      </c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ht="21.75" customHeight="1" x14ac:dyDescent="0.25">
      <c r="A476" s="14">
        <v>474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</row>
    <row r="477" spans="1:18" ht="21.75" customHeight="1" x14ac:dyDescent="0.25">
      <c r="A477" s="12">
        <v>475</v>
      </c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ht="21.75" customHeight="1" x14ac:dyDescent="0.25">
      <c r="A478" s="14">
        <v>476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</row>
    <row r="479" spans="1:18" ht="21.75" customHeight="1" x14ac:dyDescent="0.25">
      <c r="A479" s="12">
        <v>477</v>
      </c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ht="21.75" customHeight="1" x14ac:dyDescent="0.25">
      <c r="A480" s="14">
        <v>478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</row>
    <row r="481" spans="1:18" ht="21.75" customHeight="1" x14ac:dyDescent="0.25">
      <c r="A481" s="12">
        <v>479</v>
      </c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1:18" ht="21.75" customHeight="1" x14ac:dyDescent="0.25">
      <c r="A482" s="14">
        <v>480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</row>
    <row r="483" spans="1:18" ht="21.75" customHeight="1" x14ac:dyDescent="0.25">
      <c r="A483" s="12">
        <v>481</v>
      </c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1:18" ht="21.75" customHeight="1" x14ac:dyDescent="0.25">
      <c r="A484" s="14">
        <v>482</v>
      </c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</row>
    <row r="485" spans="1:18" ht="21.75" customHeight="1" x14ac:dyDescent="0.25">
      <c r="A485" s="12">
        <v>483</v>
      </c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ht="21.75" customHeight="1" x14ac:dyDescent="0.25">
      <c r="A486" s="14">
        <v>484</v>
      </c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</row>
    <row r="487" spans="1:18" ht="21.75" customHeight="1" x14ac:dyDescent="0.25">
      <c r="A487" s="12">
        <v>485</v>
      </c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ht="21.75" customHeight="1" x14ac:dyDescent="0.25">
      <c r="A488" s="14">
        <v>486</v>
      </c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</row>
    <row r="489" spans="1:18" ht="21.75" customHeight="1" x14ac:dyDescent="0.25">
      <c r="A489" s="12">
        <v>487</v>
      </c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ht="21.75" customHeight="1" x14ac:dyDescent="0.25">
      <c r="A490" s="14">
        <v>488</v>
      </c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</row>
    <row r="491" spans="1:18" ht="21.75" customHeight="1" x14ac:dyDescent="0.25">
      <c r="A491" s="12">
        <v>489</v>
      </c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ht="21.75" customHeight="1" x14ac:dyDescent="0.25">
      <c r="A492" s="14">
        <v>490</v>
      </c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</row>
    <row r="493" spans="1:18" ht="21.75" customHeight="1" x14ac:dyDescent="0.25">
      <c r="A493" s="12">
        <v>491</v>
      </c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ht="21.75" customHeight="1" x14ac:dyDescent="0.25">
      <c r="A494" s="14">
        <v>492</v>
      </c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</row>
    <row r="495" spans="1:18" ht="21.75" customHeight="1" x14ac:dyDescent="0.25">
      <c r="A495" s="12">
        <v>493</v>
      </c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ht="21.75" customHeight="1" x14ac:dyDescent="0.25">
      <c r="A496" s="14">
        <v>494</v>
      </c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</row>
    <row r="497" spans="1:18" ht="21.75" customHeight="1" x14ac:dyDescent="0.25">
      <c r="A497" s="12">
        <v>495</v>
      </c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ht="21.75" customHeight="1" x14ac:dyDescent="0.25">
      <c r="A498" s="14">
        <v>496</v>
      </c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</row>
    <row r="499" spans="1:18" ht="21.75" customHeight="1" x14ac:dyDescent="0.25">
      <c r="A499" s="12">
        <v>497</v>
      </c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ht="21.75" customHeight="1" x14ac:dyDescent="0.25">
      <c r="A500" s="14">
        <v>498</v>
      </c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</row>
    <row r="501" spans="1:18" ht="21.75" customHeight="1" x14ac:dyDescent="0.25">
      <c r="A501" s="12">
        <v>499</v>
      </c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ht="21.75" customHeight="1" x14ac:dyDescent="0.25">
      <c r="A502" s="14">
        <v>500</v>
      </c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</row>
  </sheetData>
  <autoFilter ref="A2:R502" xr:uid="{00000000-0009-0000-0000-000002000000}"/>
  <mergeCells count="1">
    <mergeCell ref="A1:R1"/>
  </mergeCells>
  <dataValidations count="6">
    <dataValidation type="list" allowBlank="1" errorTitle="Segmento" error="Selecciona un segmento válido" sqref="I3:I502" xr:uid="{00000000-0002-0000-0200-000000000000}">
      <formula1>"S1 Joven,S2 Constructor,S3 Protector,S3A Autónomo,S4 Planificador,S5 Senior"</formula1>
      <formula2>0</formula2>
    </dataValidation>
    <dataValidation type="list" allowBlank="1" sqref="K3:K502" xr:uid="{00000000-0002-0000-0200-000001000000}">
      <formula1>"Nuevo,Contactado,Cita fijada,Propuesta enviada,Cliente,No interesado,Descartado,BAJA"</formula1>
      <formula2>0</formula2>
    </dataValidation>
    <dataValidation type="list" allowBlank="1" sqref="N3:N502" xr:uid="{00000000-0002-0000-0200-000002000000}">
      <formula1>"Contactado,No contesta,Buzón,Número erróneo,Cita fijada,Llamar después,No interesado,BAJA"</formula1>
      <formula2>0</formula2>
    </dataValidation>
    <dataValidation type="list" allowBlank="1" sqref="J3:J502" xr:uid="{00000000-0002-0000-0200-000003000000}">
      <formula1>"Teléfono personal,Referido,Puerta fría,Redes sociales,Evento,Otro"</formula1>
      <formula2>0</formula2>
    </dataValidation>
    <dataValidation type="list" allowBlank="1" sqref="L3:L502" xr:uid="{00000000-0002-0000-0200-000004000000}">
      <formula1>"Plan Salud+Vida,Salud Completo,Salud Copago,Salud Copago Autónomo,Contigo Familia,Contigo Senior,Contigo Autónomo ILT,MiHogar Seguro,PPSA,SIALP/Plan Creciente,Protección Plus,Previsión Familiar,Líder Plus Accidentes,Hipoteca ING,Hipoteca Abanca,Otro"</formula1>
      <formula2>0</formula2>
    </dataValidation>
    <dataValidation type="list" allowBlank="1" sqref="R3:R502" xr:uid="{00000000-0002-0000-0200-000005000000}">
      <formula1>"Pendiente,Consentimiento obtenido,Interés legítimo,Sin base legal,BAJA"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1FA2"/>
  </sheetPr>
  <dimension ref="A1:F28"/>
  <sheetViews>
    <sheetView tabSelected="1" zoomScaleNormal="100" workbookViewId="0">
      <selection sqref="A1:F1"/>
    </sheetView>
  </sheetViews>
  <sheetFormatPr baseColWidth="10" defaultColWidth="8.7109375" defaultRowHeight="15" x14ac:dyDescent="0.25"/>
  <cols>
    <col min="1" max="6" width="20" customWidth="1"/>
  </cols>
  <sheetData>
    <row r="1" spans="1:6" ht="39.75" customHeight="1" x14ac:dyDescent="0.25">
      <c r="A1" s="9" t="s">
        <v>98</v>
      </c>
      <c r="B1" s="9"/>
      <c r="C1" s="9"/>
      <c r="D1" s="9"/>
      <c r="E1" s="9"/>
      <c r="F1" s="9"/>
    </row>
    <row r="3" spans="1:6" ht="30" customHeight="1" x14ac:dyDescent="0.25">
      <c r="A3" s="4" t="s">
        <v>99</v>
      </c>
      <c r="B3" s="4"/>
      <c r="C3" s="4"/>
      <c r="D3" s="4"/>
      <c r="E3" s="4"/>
      <c r="F3" s="4"/>
    </row>
    <row r="4" spans="1:6" ht="27.75" customHeight="1" x14ac:dyDescent="0.25">
      <c r="A4" s="1" t="s">
        <v>100</v>
      </c>
      <c r="B4" s="1"/>
      <c r="C4" s="1"/>
      <c r="D4" s="16">
        <f>COUNTA('👥 MIS CONTACTOS'!B3:B502)</f>
        <v>0</v>
      </c>
    </row>
    <row r="5" spans="1:6" ht="27.75" customHeight="1" x14ac:dyDescent="0.25">
      <c r="A5" s="1" t="s">
        <v>101</v>
      </c>
      <c r="B5" s="1"/>
      <c r="C5" s="1"/>
      <c r="D5" s="16">
        <f>COUNTIF('👥 MIS CONTACTOS'!K3:K502,"Nuevo")</f>
        <v>0</v>
      </c>
    </row>
    <row r="6" spans="1:6" ht="27.75" customHeight="1" x14ac:dyDescent="0.25">
      <c r="A6" s="1" t="s">
        <v>102</v>
      </c>
      <c r="B6" s="1"/>
      <c r="C6" s="1"/>
      <c r="D6" s="16">
        <f>COUNTIF('👥 MIS CONTACTOS'!K3:K502,"Contactado")</f>
        <v>0</v>
      </c>
    </row>
    <row r="7" spans="1:6" ht="27.75" customHeight="1" x14ac:dyDescent="0.25">
      <c r="A7" s="1" t="s">
        <v>103</v>
      </c>
      <c r="B7" s="1"/>
      <c r="C7" s="1"/>
      <c r="D7" s="16">
        <f>COUNTIF('👥 MIS CONTACTOS'!K3:K502,"Cita fijada")</f>
        <v>0</v>
      </c>
    </row>
    <row r="8" spans="1:6" ht="27.75" customHeight="1" x14ac:dyDescent="0.25">
      <c r="A8" s="1" t="s">
        <v>104</v>
      </c>
      <c r="B8" s="1"/>
      <c r="C8" s="1"/>
      <c r="D8" s="16">
        <f>COUNTIF('👥 MIS CONTACTOS'!K3:K502,"Cliente")</f>
        <v>0</v>
      </c>
    </row>
    <row r="9" spans="1:6" ht="27.75" customHeight="1" x14ac:dyDescent="0.25">
      <c r="A9" s="1" t="s">
        <v>105</v>
      </c>
      <c r="B9" s="1"/>
      <c r="C9" s="1"/>
      <c r="D9" s="16">
        <f>COUNTIF('👥 MIS CONTACTOS'!K3:K502,"No interesado")</f>
        <v>0</v>
      </c>
    </row>
    <row r="10" spans="1:6" ht="27.75" customHeight="1" x14ac:dyDescent="0.25">
      <c r="A10" s="1" t="s">
        <v>106</v>
      </c>
      <c r="B10" s="1"/>
      <c r="C10" s="1"/>
      <c r="D10" s="16">
        <f>COUNTIF('👥 MIS CONTACTOS'!K3:K502,"BAJA")</f>
        <v>0</v>
      </c>
    </row>
    <row r="13" spans="1:6" ht="30" customHeight="1" x14ac:dyDescent="0.25">
      <c r="A13" s="4" t="s">
        <v>107</v>
      </c>
      <c r="B13" s="4"/>
      <c r="C13" s="4"/>
      <c r="D13" s="4"/>
      <c r="E13" s="4"/>
      <c r="F13" s="4"/>
    </row>
    <row r="14" spans="1:6" ht="27.75" customHeight="1" x14ac:dyDescent="0.25">
      <c r="A14" s="1" t="s">
        <v>108</v>
      </c>
      <c r="B14" s="1"/>
      <c r="C14" s="1"/>
      <c r="D14" s="17">
        <f>COUNTIF('👥 MIS CONTACTOS'!I3:I502,"S1 Joven")</f>
        <v>0</v>
      </c>
    </row>
    <row r="15" spans="1:6" ht="27.75" customHeight="1" x14ac:dyDescent="0.25">
      <c r="A15" s="1" t="s">
        <v>109</v>
      </c>
      <c r="B15" s="1"/>
      <c r="C15" s="1"/>
      <c r="D15" s="17">
        <f>COUNTIF('👥 MIS CONTACTOS'!I3:I502,"S2 Constructor")</f>
        <v>0</v>
      </c>
    </row>
    <row r="16" spans="1:6" ht="27.75" customHeight="1" x14ac:dyDescent="0.25">
      <c r="A16" s="1" t="s">
        <v>110</v>
      </c>
      <c r="B16" s="1"/>
      <c r="C16" s="1"/>
      <c r="D16" s="17">
        <f>COUNTIF('👥 MIS CONTACTOS'!I3:I502,"S3 Protector")</f>
        <v>0</v>
      </c>
    </row>
    <row r="17" spans="1:6" ht="27.75" customHeight="1" x14ac:dyDescent="0.25">
      <c r="A17" s="1" t="s">
        <v>111</v>
      </c>
      <c r="B17" s="1"/>
      <c r="C17" s="1"/>
      <c r="D17" s="17">
        <f>COUNTIF('👥 MIS CONTACTOS'!I3:I502,"S3A Autónomo")</f>
        <v>0</v>
      </c>
    </row>
    <row r="18" spans="1:6" ht="27.75" customHeight="1" x14ac:dyDescent="0.25">
      <c r="A18" s="1" t="s">
        <v>112</v>
      </c>
      <c r="B18" s="1"/>
      <c r="C18" s="1"/>
      <c r="D18" s="17">
        <f>COUNTIF('👥 MIS CONTACTOS'!I3:I502,"S4 Planificador")</f>
        <v>0</v>
      </c>
    </row>
    <row r="19" spans="1:6" ht="27.75" customHeight="1" x14ac:dyDescent="0.25">
      <c r="A19" s="1" t="s">
        <v>113</v>
      </c>
      <c r="B19" s="1"/>
      <c r="C19" s="1"/>
      <c r="D19" s="17">
        <f>COUNTIF('👥 MIS CONTACTOS'!I3:I502,"S5 Senior")</f>
        <v>0</v>
      </c>
    </row>
    <row r="20" spans="1:6" ht="27.75" customHeight="1" x14ac:dyDescent="0.25">
      <c r="A20" s="1" t="s">
        <v>114</v>
      </c>
      <c r="B20" s="1"/>
      <c r="C20" s="1"/>
      <c r="D20" s="17">
        <f>COUNTIF('👥 MIS CONTACTOS'!I3:I502,"")</f>
        <v>500</v>
      </c>
    </row>
    <row r="23" spans="1:6" ht="30" customHeight="1" x14ac:dyDescent="0.25">
      <c r="A23" s="4" t="s">
        <v>115</v>
      </c>
      <c r="B23" s="4"/>
      <c r="C23" s="4"/>
      <c r="D23" s="4"/>
      <c r="E23" s="4"/>
      <c r="F23" s="4"/>
    </row>
    <row r="24" spans="1:6" ht="27.75" customHeight="1" x14ac:dyDescent="0.25">
      <c r="A24" s="1" t="s">
        <v>116</v>
      </c>
      <c r="B24" s="1"/>
      <c r="C24" s="1"/>
      <c r="D24" s="18">
        <f>COUNTIF('👥 MIS CONTACTOS'!R3:R502,"Consentimiento obtenido")</f>
        <v>0</v>
      </c>
    </row>
    <row r="25" spans="1:6" ht="27.75" customHeight="1" x14ac:dyDescent="0.25">
      <c r="A25" s="1" t="s">
        <v>117</v>
      </c>
      <c r="B25" s="1"/>
      <c r="C25" s="1"/>
      <c r="D25" s="18">
        <f>COUNTIF('👥 MIS CONTACTOS'!R3:R502,"Pendiente")</f>
        <v>0</v>
      </c>
    </row>
    <row r="26" spans="1:6" ht="27.75" customHeight="1" x14ac:dyDescent="0.25">
      <c r="A26" s="1" t="s">
        <v>118</v>
      </c>
      <c r="B26" s="1"/>
      <c r="C26" s="1"/>
      <c r="D26" s="18">
        <f>COUNTIF('👥 MIS CONTACTOS'!R3:R502,"Interés legítimo")</f>
        <v>0</v>
      </c>
    </row>
    <row r="27" spans="1:6" ht="27.75" customHeight="1" x14ac:dyDescent="0.25">
      <c r="A27" s="1" t="s">
        <v>119</v>
      </c>
      <c r="B27" s="1"/>
      <c r="C27" s="1"/>
      <c r="D27" s="18">
        <f>COUNTIF('👥 MIS CONTACTOS'!R3:R502,"Sin base legal")</f>
        <v>0</v>
      </c>
    </row>
    <row r="28" spans="1:6" ht="27.75" customHeight="1" x14ac:dyDescent="0.25">
      <c r="A28" s="1" t="s">
        <v>120</v>
      </c>
      <c r="B28" s="1"/>
      <c r="C28" s="1"/>
      <c r="D28" s="18">
        <f>COUNTIF('👥 MIS CONTACTOS'!R3:R502,"BAJA")</f>
        <v>0</v>
      </c>
    </row>
  </sheetData>
  <mergeCells count="23">
    <mergeCell ref="A26:C26"/>
    <mergeCell ref="A27:C27"/>
    <mergeCell ref="A28:C28"/>
    <mergeCell ref="A19:C19"/>
    <mergeCell ref="A20:C20"/>
    <mergeCell ref="A23:F23"/>
    <mergeCell ref="A24:C24"/>
    <mergeCell ref="A25:C25"/>
    <mergeCell ref="A14:C14"/>
    <mergeCell ref="A15:C15"/>
    <mergeCell ref="A16:C16"/>
    <mergeCell ref="A17:C17"/>
    <mergeCell ref="A18:C18"/>
    <mergeCell ref="A7:C7"/>
    <mergeCell ref="A8:C8"/>
    <mergeCell ref="A9:C9"/>
    <mergeCell ref="A10:C10"/>
    <mergeCell ref="A13:F13"/>
    <mergeCell ref="A1:F1"/>
    <mergeCell ref="A3:F3"/>
    <mergeCell ref="A4:C4"/>
    <mergeCell ref="A5:C5"/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📖 INSTRUCCIONES</vt:lpstr>
      <vt:lpstr>📱 IMPORTAR CONTACTOS</vt:lpstr>
      <vt:lpstr>👥 MIS CONTACTOS</vt:lpstr>
      <vt:lpstr>📊 MI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Federico E. Fontanals Serra</cp:lastModifiedBy>
  <cp:revision>0</cp:revision>
  <dcterms:created xsi:type="dcterms:W3CDTF">2026-05-06T20:32:33Z</dcterms:created>
  <dcterms:modified xsi:type="dcterms:W3CDTF">2026-05-07T05:09:35Z</dcterms:modified>
  <dc:language>en-US</dc:language>
</cp:coreProperties>
</file>